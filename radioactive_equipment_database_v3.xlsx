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f1b33cd0072b634/Documents/Antigravity projects/Rad Pro Calc/"/>
    </mc:Choice>
  </mc:AlternateContent>
  <xr:revisionPtr revIDLastSave="0" documentId="8_{D3FAEBE7-668C-4BDE-816C-D3F2FD650756}" xr6:coauthVersionLast="47" xr6:coauthVersionMax="47" xr10:uidLastSave="{00000000-0000-0000-0000-000000000000}"/>
  <bookViews>
    <workbookView xWindow="22875" yWindow="-21720" windowWidth="51840" windowHeight="21120" activeTab="6" xr2:uid="{00000000-000D-0000-FFFF-FFFF00000000}"/>
  </bookViews>
  <sheets>
    <sheet name="Overview &amp; Navigation" sheetId="1" r:id="rId1"/>
    <sheet name="Master Device Database" sheetId="2" r:id="rId2"/>
    <sheet name="First Responder Quick Ref" sheetId="3" r:id="rId3"/>
    <sheet name="Isotope Technical Data" sheetId="4" r:id="rId4"/>
    <sheet name="Orphan Source Risk Register" sheetId="5" r:id="rId5"/>
    <sheet name="Military &amp; Aerospace" sheetId="6" r:id="rId6"/>
    <sheet name="Sector Analytic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7" l="1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16" i="7"/>
  <c r="D15" i="7"/>
  <c r="D14" i="7"/>
  <c r="D13" i="7"/>
  <c r="D12" i="7"/>
  <c r="D11" i="7"/>
  <c r="D10" i="7"/>
  <c r="D9" i="7"/>
  <c r="I8" i="7"/>
  <c r="D8" i="7"/>
  <c r="I7" i="7"/>
  <c r="D7" i="7"/>
  <c r="I6" i="7"/>
  <c r="D6" i="7"/>
  <c r="I5" i="7"/>
  <c r="D5" i="7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</calcChain>
</file>

<file path=xl/sharedStrings.xml><?xml version="1.0" encoding="utf-8"?>
<sst xmlns="http://schemas.openxmlformats.org/spreadsheetml/2006/main" count="3471" uniqueCount="1895">
  <si>
    <t>MODULE 11 — RADIOACTIVE EQUIPMENT REFERENCE DATABASE v3.0</t>
  </si>
  <si>
    <t>First Responder &amp; Emergency Management Reference | 80 Devices | 31 Isotopes | Military, Medical, Industrial, Aerospace | Generated: 2026-04-06</t>
  </si>
  <si>
    <t>IAEA SOURCE CATEGORY REFERENCE (RS-G-1.9)</t>
  </si>
  <si>
    <t>Category</t>
  </si>
  <si>
    <t>Risk Level</t>
  </si>
  <si>
    <t>Example A/D Ratio</t>
  </si>
  <si>
    <t>Typical 1m Dose Rate (bare)</t>
  </si>
  <si>
    <t>Example Devices</t>
  </si>
  <si>
    <t>Orphan Source Priority</t>
  </si>
  <si>
    <t>1</t>
  </si>
  <si>
    <t>EXTREME — Potentially fatal in minutes to hours</t>
  </si>
  <si>
    <t>≥1,000</t>
  </si>
  <si>
    <t>Up to 500 Sv/h</t>
  </si>
  <si>
    <t>Co-60 Gamma Knife, Teletherapy, Large Irradiators, GPHS-RTG</t>
  </si>
  <si>
    <t>CRITICAL</t>
  </si>
  <si>
    <t>2</t>
  </si>
  <si>
    <t>SEVERE — Potentially fatal within hours to days</t>
  </si>
  <si>
    <t>10–1,000</t>
  </si>
  <si>
    <t>100 mSv–500 Sv/h</t>
  </si>
  <si>
    <t>HDR Ir-192, Gamma cameras, Well logging tools, Se-75</t>
  </si>
  <si>
    <t>HIGH</t>
  </si>
  <si>
    <t>3</t>
  </si>
  <si>
    <t>MODERATE — May cause permanent injury</t>
  </si>
  <si>
    <t>1–10</t>
  </si>
  <si>
    <t>1–100 mSv/h</t>
  </si>
  <si>
    <t>Level gauges, DEXA, Tc-99m generators, Y-90 microspheres</t>
  </si>
  <si>
    <t>MEDIUM</t>
  </si>
  <si>
    <t>4</t>
  </si>
  <si>
    <t>LOW — Unlikely to cause permanent injury</t>
  </si>
  <si>
    <t>0.01–1</t>
  </si>
  <si>
    <t>&lt;1 mSv/h</t>
  </si>
  <si>
    <t>Soil gauges, Tritium signs, F-18 PET doses</t>
  </si>
  <si>
    <t>LOW</t>
  </si>
  <si>
    <t>5</t>
  </si>
  <si>
    <t>VERY LOW — Unlikely to be hazardous</t>
  </si>
  <si>
    <t>&lt;0.01</t>
  </si>
  <si>
    <t>&lt;0.1 mSv/h</t>
  </si>
  <si>
    <t>Smoke detectors, Ni-63 ECD, Pacemakers, I-125 seeds</t>
  </si>
  <si>
    <t>VERY LOW</t>
  </si>
  <si>
    <t>EMERGENCY CONTACTS</t>
  </si>
  <si>
    <t>Organization</t>
  </si>
  <si>
    <t>Phone</t>
  </si>
  <si>
    <t>Role</t>
  </si>
  <si>
    <t>Notes</t>
  </si>
  <si>
    <t>US NRC Operations Center</t>
  </si>
  <si>
    <t>1-301-816-5100 (24/7)</t>
  </si>
  <si>
    <t>Nuclear Regulatory Commission emergency</t>
  </si>
  <si>
    <t>NRC-licensed source incidents</t>
  </si>
  <si>
    <t>REAC/TS Oak Ridge</t>
  </si>
  <si>
    <t>1-865-576-1005 (24/7)</t>
  </si>
  <si>
    <t>Medical radiation emergency assistance</t>
  </si>
  <si>
    <t>Radiation Emergency Assistance Center/Training Site</t>
  </si>
  <si>
    <t>IAEA Emergency</t>
  </si>
  <si>
    <t>+43-1-2600-22222 (24/7)</t>
  </si>
  <si>
    <t>International radiological incident reporting</t>
  </si>
  <si>
    <t>IAEA Emergency Response Team</t>
  </si>
  <si>
    <t>US EPA Radiation</t>
  </si>
  <si>
    <t>1-800-424-8802 (24/7)</t>
  </si>
  <si>
    <t>Environmental Protection Agency</t>
  </si>
  <si>
    <t>Contamination/spill incidents</t>
  </si>
  <si>
    <t>NATO CBRN CoE</t>
  </si>
  <si>
    <t>Through SHAPE / NATO</t>
  </si>
  <si>
    <t>Military radiological incident command</t>
  </si>
  <si>
    <t>Vilnius, Lithuania — NATO CBRN Centre of Excellence</t>
  </si>
  <si>
    <t>DOE Emergency (DU/RTG)</t>
  </si>
  <si>
    <t>1-202-586-8100 (24/7)</t>
  </si>
  <si>
    <t>US Dept of Energy — nuclear materials</t>
  </si>
  <si>
    <t>DU munitions, RTG, classified source incidents</t>
  </si>
  <si>
    <t>SHEET INDEX — Click to Navigate</t>
  </si>
  <si>
    <t>→  Master Device Database</t>
  </si>
  <si>
    <t>80 devices — all sectors, isotopes, dose rates, IAEA categories, FR action codes</t>
  </si>
  <si>
    <t>→  First Responder Quick Ref</t>
  </si>
  <si>
    <t>Sorted EXTREME→SAFE — immediate action codes, shielding, contamination protocols</t>
  </si>
  <si>
    <t>→  Isotope Technical Data</t>
  </si>
  <si>
    <t>31 isotopes — decay modes, HVL, biological hazard pathways, critical organs</t>
  </si>
  <si>
    <t>→  Orphan Source Risk Register</t>
  </si>
  <si>
    <t>Risk scores 0-15 per device, historical incidents, recovery priority</t>
  </si>
  <si>
    <t>→  Military &amp; Aerospace</t>
  </si>
  <si>
    <t>DU penetrators, aircraft counterweights, RTGs, radiac calibrators, satellite RTGs</t>
  </si>
  <si>
    <t>→  Sector Analytics</t>
  </si>
  <si>
    <t>Charts — device count by sector, hazard distribution, isotope frequency table</t>
  </si>
  <si>
    <t>Sources: IAEA RS-G-1.9 / TECDOC-1344 / GOV/2003/27, NRC 10 CFR, FAA AC 20-123, NATO CBRN, NASA EIS, manufacturer datasheets | v3.0 April 2026</t>
  </si>
  <si>
    <t>MASTER RADIOACTIVE DEVICE DATABASE — All Sectors</t>
  </si>
  <si>
    <t>Device Name</t>
  </si>
  <si>
    <t>Manufacturer / Owner</t>
  </si>
  <si>
    <t>Sector / Application</t>
  </si>
  <si>
    <t>Primary Isotope(s)</t>
  </si>
  <si>
    <t>Activity (Typical)</t>
  </si>
  <si>
    <t>Half-Life</t>
  </si>
  <si>
    <t>Radiation Type</t>
  </si>
  <si>
    <t>IAEA Cat.</t>
  </si>
  <si>
    <t>Hazard Level</t>
  </si>
  <si>
    <t>Dose Rate @ 1m (Bare/Unshielded)</t>
  </si>
  <si>
    <t>Hazard Profile Summary</t>
  </si>
  <si>
    <t>Key Regulatory Framework</t>
  </si>
  <si>
    <t>Physical Form</t>
  </si>
  <si>
    <t>Shielding Material</t>
  </si>
  <si>
    <t>Encapsulation</t>
  </si>
  <si>
    <t>Orphan Source Risk</t>
  </si>
  <si>
    <t>Contamination Vector</t>
  </si>
  <si>
    <t>First Responder Action Code</t>
  </si>
  <si>
    <t>Source</t>
  </si>
  <si>
    <t>SPEC-150 / QSA 880 Radiography Camera</t>
  </si>
  <si>
    <t>Source Prod. &amp; Equip. / QSA Global</t>
  </si>
  <si>
    <t>Industrial – Gamma Radiography</t>
  </si>
  <si>
    <t>Ir-192; Se-75</t>
  </si>
  <si>
    <t>550 GBq ea (15 Ci ea)</t>
  </si>
  <si>
    <t>74 days; 120 days</t>
  </si>
  <si>
    <t>Gamma</t>
  </si>
  <si>
    <t>EXTREME</t>
  </si>
  <si>
    <t>~720,000 µSv/h bare</t>
  </si>
  <si>
    <t>Compact DU-shielded device. Bare source lethal within minutes. ARS risk.</t>
  </si>
  <si>
    <t>NRC 10 CFR 34; IAEA SSG-11</t>
  </si>
  <si>
    <t>Metal pellet/capsule</t>
  </si>
  <si>
    <t>Depleted uranium + steel</t>
  </si>
  <si>
    <t>Double ISO E6X646</t>
  </si>
  <si>
    <t>External gamma; dust if damaged</t>
  </si>
  <si>
    <t>1 – ISOLATE 30m; call NRC; do NOT approach bare source</t>
  </si>
  <si>
    <t>3440 Moisture-Density Gauge</t>
  </si>
  <si>
    <t>Troxler Laboratories</t>
  </si>
  <si>
    <t>Industrial – Soil/Asphalt NDT</t>
  </si>
  <si>
    <t>Cs-137; Am-241:Be</t>
  </si>
  <si>
    <t>0.3 GBq; 1.48 GBq</t>
  </si>
  <si>
    <t>30.2 yr; 432 yr</t>
  </si>
  <si>
    <t>Gamma + Neutron</t>
  </si>
  <si>
    <t>~26 µSv/h gamma + neutron scatter</t>
  </si>
  <si>
    <t>Retractable rod; hazard if severed/crushed. Check source internal.</t>
  </si>
  <si>
    <t>NRC 10 CFR 30/39; ANSI N323</t>
  </si>
  <si>
    <t>Ceramic/glass bead + wire rod</t>
  </si>
  <si>
    <t>Plastic/steel housing</t>
  </si>
  <si>
    <t>Double stainless steel capsule</t>
  </si>
  <si>
    <t>Neutron scatter; Cs-137 gamma</t>
  </si>
  <si>
    <t>2 – 10m cordon; call NRC; do not retract rod manually</t>
  </si>
  <si>
    <t>Wireline Neutron Porosity Tool</t>
  </si>
  <si>
    <t>Generic Oil/Gas (QSA Config)</t>
  </si>
  <si>
    <t>Oil/Gas – Well Logging</t>
  </si>
  <si>
    <t>Am-241:Be</t>
  </si>
  <si>
    <t>555 GBq (15 Ci)</t>
  </si>
  <si>
    <t>432 yr</t>
  </si>
  <si>
    <t>Neutron + Gamma</t>
  </si>
  <si>
    <t>~1,000 µSv/h fast neutrons + gamma</t>
  </si>
  <si>
    <t>Rugged MP35N capsule in logging string. Lost-in-hole scenario = orphan source.</t>
  </si>
  <si>
    <t>NRC 10 CFR 39; API RP 45</t>
  </si>
  <si>
    <t>AmBe ceramic capsule</t>
  </si>
  <si>
    <t>Steel housing + tool string</t>
  </si>
  <si>
    <t>Double MP35N</t>
  </si>
  <si>
    <t>CRITICAL (lost-in-hole)</t>
  </si>
  <si>
    <t>Fast neutrons + gamma</t>
  </si>
  <si>
    <t>1 – ISOLATE 30m; neutron hazard; NRC/operator notification</t>
  </si>
  <si>
    <t>Wireline Formation Density Tool</t>
  </si>
  <si>
    <t>Generic Oil/Gas (Eckert &amp; Ziegler)</t>
  </si>
  <si>
    <t>Cs-137</t>
  </si>
  <si>
    <t>2 Ci (74 GBq)</t>
  </si>
  <si>
    <t>30.2 yr</t>
  </si>
  <si>
    <t>~6,500 µSv/h (6.5 mSv/h)</t>
  </si>
  <si>
    <t>Double-encapsulated stainless steel. Severe burns if unshielded.</t>
  </si>
  <si>
    <t>NRC 10 CFR 39; IAEA SSG-5</t>
  </si>
  <si>
    <t>CsCl ceramic bead</t>
  </si>
  <si>
    <t>Steel tool housing</t>
  </si>
  <si>
    <t>Double stainless steel</t>
  </si>
  <si>
    <t>HIGH (lost-in-hole)</t>
  </si>
  <si>
    <t>1 – ISOLATE 15m; gamma survey; NRC notification</t>
  </si>
  <si>
    <t>Leksell Gamma Knife® Icon</t>
  </si>
  <si>
    <t>Elekta</t>
  </si>
  <si>
    <t>Medical – Stereotactic Radiosurgery</t>
  </si>
  <si>
    <t>Co-60</t>
  </si>
  <si>
    <t>244,200 GBq (6,600 Ci) distributed 192 sources</t>
  </si>
  <si>
    <t>5.27 yr</t>
  </si>
  <si>
    <t>~85,800,000 µSv/h total</t>
  </si>
  <si>
    <t>Megadose facility. 192 Co-60 sources focused on single isocenter. ARS or fatal if accessed.</t>
  </si>
  <si>
    <t>NRC 10 CFR 35; IEC 60601-2-11</t>
  </si>
  <si>
    <t>192 Co-60 pellets in array</t>
  </si>
  <si>
    <t>Tungsten/steel 18 tonnes</t>
  </si>
  <si>
    <t>Stainless sealed pellets</t>
  </si>
  <si>
    <t>EXTREME (facility loss)</t>
  </si>
  <si>
    <t>Gamma (multiple beams)</t>
  </si>
  <si>
    <t>1 – EVACUATE facility; do NOT enter treatment room; call RSO + NRC</t>
  </si>
  <si>
    <t>Flexitron HDR Afterloader</t>
  </si>
  <si>
    <t>Elekta / Varian</t>
  </si>
  <si>
    <t>Medical – High-Dose-Rate Brachytherapy</t>
  </si>
  <si>
    <t>Ir-192</t>
  </si>
  <si>
    <t>10–18 Ci (370–666 GBq)</t>
  </si>
  <si>
    <t>74 days</t>
  </si>
  <si>
    <t>~48,000 µSv/h</t>
  </si>
  <si>
    <t>Guide wire seed. Amputations/fatal ARS if bare wire handled directly.</t>
  </si>
  <si>
    <t>NRC 10 CFR 35.1000; IAEA SSG-13</t>
  </si>
  <si>
    <t>Ir-192 wire, 0.9mm × 3.5mm</t>
  </si>
  <si>
    <t>Lead-lined transport</t>
  </si>
  <si>
    <t>Welded stainless capsule</t>
  </si>
  <si>
    <t>HIGH (wire retraction failure)</t>
  </si>
  <si>
    <t>Gamma; bare wire contact</t>
  </si>
  <si>
    <t>1 – Do NOT handle wire; call RSO; use long-handle tool</t>
  </si>
  <si>
    <t>Gammacell 220 Irradiator</t>
  </si>
  <si>
    <t>MDS Nordion</t>
  </si>
  <si>
    <t>Medical – Blood Irradiation / Sterilization</t>
  </si>
  <si>
    <t>880 GBq (24,000 Ci)</t>
  </si>
  <si>
    <t>~312,000,000 µSv/h (312 Sv/h)</t>
  </si>
  <si>
    <t>Massive shielded unit. External handling safe. Breach by heavy machinery = fatal exposure.</t>
  </si>
  <si>
    <t>NRC 10 CFR 36; IAEA TECDOC-1023</t>
  </si>
  <si>
    <t>Co-60 pencils in cylindrical array</t>
  </si>
  <si>
    <t>Massive lead/steel</t>
  </si>
  <si>
    <t>Stainless pencils</t>
  </si>
  <si>
    <t>1 – EVACUATE 50m; DO NOT open; RSO + NRC immediately</t>
  </si>
  <si>
    <t>Transmission Thickness Gauge</t>
  </si>
  <si>
    <t>NDC Technologies / Thermo Fisher</t>
  </si>
  <si>
    <t>Industrial – Plastic Film Thickness</t>
  </si>
  <si>
    <t>Kr-85; Sr-90</t>
  </si>
  <si>
    <t>9.25 GBq; 1.85 GBq</t>
  </si>
  <si>
    <t>10.76 yr; 28.8 yr</t>
  </si>
  <si>
    <t>Beta</t>
  </si>
  <si>
    <t>MODERATE</t>
  </si>
  <si>
    <t>Variable beta surface dose</t>
  </si>
  <si>
    <t>Pure beta emitters. Skin/eye hazard if beam window breached. No whole-body depth hazard.</t>
  </si>
  <si>
    <t>NRC 10 CFR 30; ISO 11932</t>
  </si>
  <si>
    <t>Gas/foil beta source</t>
  </si>
  <si>
    <t>Plastic housing</t>
  </si>
  <si>
    <t>Sealed source capsule</t>
  </si>
  <si>
    <t>Beta skin dose</t>
  </si>
  <si>
    <t>3 – Beta survey; PPE; limit skin exposure; NRC notification</t>
  </si>
  <si>
    <t>Nuclear Static Eliminator (Ionizing Bar)</t>
  </si>
  <si>
    <t>NRD / Amstat</t>
  </si>
  <si>
    <t>Industrial – Static Control (Print/Textile)</t>
  </si>
  <si>
    <t>Po-210</t>
  </si>
  <si>
    <t>0.74 GBq (20 mCi)</t>
  </si>
  <si>
    <t>138 days</t>
  </si>
  <si>
    <t>Alpha</t>
  </si>
  <si>
    <t>0 µSv/h external (alpha only)</t>
  </si>
  <si>
    <t>Alpha emitter bonded to foil strips. Zero external hazard. Highly toxic if scraped/ingested.</t>
  </si>
  <si>
    <t>NRC 10 CFR 30; ANSI/HPS N43.6</t>
  </si>
  <si>
    <t>Po-210 foil strips</t>
  </si>
  <si>
    <t>Open bar, no shielding</t>
  </si>
  <si>
    <t>Foil bonded to substrate</t>
  </si>
  <si>
    <t>Alpha inhalation if scraped</t>
  </si>
  <si>
    <t>4 – Do not scrape; alpha wipe test; PPE gloves</t>
  </si>
  <si>
    <t>Beta-M RTG (Radioisotope Thermoelectric Gen.)</t>
  </si>
  <si>
    <t>Soviet Era / Historic Legacy</t>
  </si>
  <si>
    <t>Civil Defense – Remote Lighthouse/Buoy</t>
  </si>
  <si>
    <t>Sr-90</t>
  </si>
  <si>
    <t>1,295,000 GBq (35,000 Ci)</t>
  </si>
  <si>
    <t>28.8 yr</t>
  </si>
  <si>
    <t>Beta + Bremsstrahlung X-ray</t>
  </si>
  <si>
    <t>&gt;10,000,000 µSv/h (10 Sv/h X-ray)</t>
  </si>
  <si>
    <t>Gigantic orphan-source risk. Lethal bremsstrahlung. History of fatal scavenger exposures (Georgia 1997).</t>
  </si>
  <si>
    <t>IAEA GOV/2003/27; IAEA-TECDOC-1327</t>
  </si>
  <si>
    <t>SrTiO3 ceramic</t>
  </si>
  <si>
    <t>Stainless steel casing</t>
  </si>
  <si>
    <t>Welded sealed</t>
  </si>
  <si>
    <t>EXTREME (orphan source)</t>
  </si>
  <si>
    <t>Bremsstrahlung X-ray; Sr-90 contamination</t>
  </si>
  <si>
    <t>1 – ISOLATE 100m; X-ray + beta hazard; NOTIFY IAEA</t>
  </si>
  <si>
    <t>Ludlum Button Check Source</t>
  </si>
  <si>
    <t>Ludlum Measurements</t>
  </si>
  <si>
    <t>Security – Geiger Counter Calibration</t>
  </si>
  <si>
    <t>0.037 GBq (1 µCi)</t>
  </si>
  <si>
    <t>SAFE</t>
  </si>
  <si>
    <t>~0.003 µSv/h</t>
  </si>
  <si>
    <t>Epoxy-sealed plastic disk. Negligible dose for casual handling.</t>
  </si>
  <si>
    <t>NRC 10 CFR 30 (general licence)</t>
  </si>
  <si>
    <t>CsCl in epoxy disk</t>
  </si>
  <si>
    <t>None (plastic case)</t>
  </si>
  <si>
    <t>Epoxy sealed</t>
  </si>
  <si>
    <t>Minimal gamma</t>
  </si>
  <si>
    <t>5 – No immediate action; log and secure</t>
  </si>
  <si>
    <t>Ionization Smoke Detector</t>
  </si>
  <si>
    <t>Generic Residential</t>
  </si>
  <si>
    <t>Security – Home Fire Detection</t>
  </si>
  <si>
    <t>Am-241</t>
  </si>
  <si>
    <t>&lt;0.01 µSv/h</t>
  </si>
  <si>
    <t>Alpha only; plastic housing prevents exposure. Ingestion/inhalation risk if dismantled.</t>
  </si>
  <si>
    <t>NRC 10 CFR 30.15 (exempt); EU Dir 2013/59</t>
  </si>
  <si>
    <t>AmO2 ceramic disk</t>
  </si>
  <si>
    <t>Double sealed</t>
  </si>
  <si>
    <t>Alpha only if dismantled</t>
  </si>
  <si>
    <t>5 – No action (intact); collect for disposal; do not dismantle</t>
  </si>
  <si>
    <t>GammaMat SE Pipeline Crawler</t>
  </si>
  <si>
    <t>Eckert &amp; Ziegler / QSA</t>
  </si>
  <si>
    <t>Industrial – Gamma Radiography (Pipeline)</t>
  </si>
  <si>
    <t>80 Ci (2,960 GBq)</t>
  </si>
  <si>
    <t>~3,200,000 µSv/h bare</t>
  </si>
  <si>
    <t>Crawler camera used inside pipelines for weld inspection. Bare source fatal within seconds at close range.</t>
  </si>
  <si>
    <t>NRC 10 CFR 34; EN 13601</t>
  </si>
  <si>
    <t>Ir-192 pellet</t>
  </si>
  <si>
    <t>DU + steel projector</t>
  </si>
  <si>
    <t>Double ISO</t>
  </si>
  <si>
    <t>1 – ISOLATE 50m; survey with meter; NRC + operator call</t>
  </si>
  <si>
    <t>Sentinel 660 Co-60 Radiography Camera</t>
  </si>
  <si>
    <t>Best Theratronics (now IBA)</t>
  </si>
  <si>
    <t>Industrial – Gamma Radiography (Heavy Steel)</t>
  </si>
  <si>
    <t>8–60 Ci (296–2,220 GBq)</t>
  </si>
  <si>
    <t>1-2</t>
  </si>
  <si>
    <t>~5,000,000 µSv/h bare (60 Ci src)</t>
  </si>
  <si>
    <t>Used for thick-section weld radiography. Long half-life = persistent orphan source risk.</t>
  </si>
  <si>
    <t>Co-60 pellet</t>
  </si>
  <si>
    <t>DU + steel</t>
  </si>
  <si>
    <t>1 – ISOLATE 100m; very high penetration; NRC notify</t>
  </si>
  <si>
    <t>Fixed Cs-137 Level Gauge (Process)</t>
  </si>
  <si>
    <t>Berthold LB 470</t>
  </si>
  <si>
    <t>Industrial – Process Level Measurement</t>
  </si>
  <si>
    <t>Up to 1,000 mCi (37 GBq)</t>
  </si>
  <si>
    <t>~3,000 µSv/h at 5 cm (shutter open)</t>
  </si>
  <si>
    <t>Non-contact level measurement on vessels/bunkers. Source in locked housing; beam collimated.</t>
  </si>
  <si>
    <t>NRC 10 CFR 30; ISO 16641</t>
  </si>
  <si>
    <t>Lead-filled cast iron</t>
  </si>
  <si>
    <t>Double stainless</t>
  </si>
  <si>
    <t>Gamma (collimated beam)</t>
  </si>
  <si>
    <t>3 – Avoid primary beam; process interlock check; survey</t>
  </si>
  <si>
    <t>Fixed Co-60 Level Gauge (High-Penetration)</t>
  </si>
  <si>
    <t>Berthold / Ohmart-VEGA</t>
  </si>
  <si>
    <t>Industrial – Heavy Process Measurement</t>
  </si>
  <si>
    <t>100–500 mCi (3.7–18.5 GBq)</t>
  </si>
  <si>
    <t>~50,000 µSv/h at 5 cm (shutter open)</t>
  </si>
  <si>
    <t>High-energy gamma for steel vessel penetration. Used in steel mills/refineries.</t>
  </si>
  <si>
    <t>NRC 10 CFR 30; EN ISO 16641</t>
  </si>
  <si>
    <t>Co metal wire</t>
  </si>
  <si>
    <t>Lead-filled housing</t>
  </si>
  <si>
    <t>High-energy gamma</t>
  </si>
  <si>
    <t>2 – ISOLATE beam path; gamma survey; process shutdown</t>
  </si>
  <si>
    <t>Se-75 Pipeline Gamma Camera</t>
  </si>
  <si>
    <t>QSA / Eckert &amp; Ziegler</t>
  </si>
  <si>
    <t>Industrial – NDT Thin-Wall Radiography</t>
  </si>
  <si>
    <t>Se-75</t>
  </si>
  <si>
    <t>Up to 200 Ci (7,400 GBq)</t>
  </si>
  <si>
    <t>120 days</t>
  </si>
  <si>
    <t>~1,600,000 µSv/h bare</t>
  </si>
  <si>
    <t>Preferred for 4–30mm steel welds. Smaller exclusion zone than Ir-192. Type A transport container.</t>
  </si>
  <si>
    <t>NRC 10 CFR 34; IAEA SSG-11; EN 462</t>
  </si>
  <si>
    <t>Se pellet compressed</t>
  </si>
  <si>
    <t>Steel + DU projector</t>
  </si>
  <si>
    <t>1 – ISOLATE 30m; gamma survey; NRC notify</t>
  </si>
  <si>
    <t>Yb-169 Gamma Camera</t>
  </si>
  <si>
    <t>REVISS / Isotope Products</t>
  </si>
  <si>
    <t>Industrial – NDT Ultra-Thin-Wall</t>
  </si>
  <si>
    <t>Yb-169</t>
  </si>
  <si>
    <t>Up to 8 Ci (300 GBq)</t>
  </si>
  <si>
    <t>32 days</t>
  </si>
  <si>
    <t>Gamma (63–308 keV)</t>
  </si>
  <si>
    <t>~240,000 µSv/h bare</t>
  </si>
  <si>
    <t>Thin-wall (2–10mm) steel inspection. Low energy allows tight collimation. Short half-life = rapid decay.</t>
  </si>
  <si>
    <t>NRC 10 CFR 34; EN 1435</t>
  </si>
  <si>
    <t>Yb ceramic</t>
  </si>
  <si>
    <t>Steel projector</t>
  </si>
  <si>
    <t>Low-energy gamma</t>
  </si>
  <si>
    <t>2 – ISOLATE 15m; low-energy gamma; lead shield adequate</t>
  </si>
  <si>
    <t>Tm-170 Gamma Camera</t>
  </si>
  <si>
    <t>Various (specialty)</t>
  </si>
  <si>
    <t>Industrial – NDT Very Thin-Wall</t>
  </si>
  <si>
    <t>Tm-170</t>
  </si>
  <si>
    <t>128 days</t>
  </si>
  <si>
    <t>Beta + Bremsstrahlung gamma</t>
  </si>
  <si>
    <t>~variable bremsstrahlung</t>
  </si>
  <si>
    <t>Very thin-wall (2–12mm) steel. Primarily beta emitter. Low dose rate at distance but high on contact.</t>
  </si>
  <si>
    <t>NRC 10 CFR 34; ANSI N43.9</t>
  </si>
  <si>
    <t>Tm ceramic</t>
  </si>
  <si>
    <t>Beta + bremsstrahlung</t>
  </si>
  <si>
    <t>2 – ISOLATE 15m; beta survey; lead shield adequate</t>
  </si>
  <si>
    <t>Gd-153 Bone Densitometer (Legacy DEXA)</t>
  </si>
  <si>
    <t>Lunar Corporation / Norland</t>
  </si>
  <si>
    <t>Medical – Bone Densitometry</t>
  </si>
  <si>
    <t>Gd-153</t>
  </si>
  <si>
    <t>Up to 100 mCi (3.7 GBq)</t>
  </si>
  <si>
    <t>240 days</t>
  </si>
  <si>
    <t>Gamma (40–100 keV)</t>
  </si>
  <si>
    <t>~0.8 mrem/h at 1 ft / mCi</t>
  </si>
  <si>
    <t>Dual-photon absorptiometry source. Low energy gamma; excellent shielding by lead &lt; 1mm. Replaced by X-ray DEXA.</t>
  </si>
  <si>
    <t>NRC 10 CFR 35; ACR guidelines</t>
  </si>
  <si>
    <t>Gd ceramic</t>
  </si>
  <si>
    <t>Lead housing</t>
  </si>
  <si>
    <t>4 – Low dose; survey; notify RSO</t>
  </si>
  <si>
    <t>Co-60 Teletherapy Unit (Theratron 780)</t>
  </si>
  <si>
    <t>Best Theratronics / Atomic Energy Canada</t>
  </si>
  <si>
    <t>Medical – External Beam Radiotherapy</t>
  </si>
  <si>
    <t>5,000–10,000 Ci (185,000–370,000 GBq)</t>
  </si>
  <si>
    <t>~5,000,000,000 µSv/h total output</t>
  </si>
  <si>
    <t>Megadose teletherapy. Catastrophic if shielding compromised. Historical accidents: Ciudad Juarez 1962, Goiania 1987 type.</t>
  </si>
  <si>
    <t>NRC 10 CFR 35; IEC 60601-2-11; IAEA SSG-13</t>
  </si>
  <si>
    <t>Co-60 stainless capsule</t>
  </si>
  <si>
    <t>Depleted uranium + lead</t>
  </si>
  <si>
    <t>Double stainless ISO</t>
  </si>
  <si>
    <t>Gamma (1.17 + 1.33 MeV)</t>
  </si>
  <si>
    <t>1 – EVACUATE 100m; co-60 penetrates all common shielding; NRC + RSO</t>
  </si>
  <si>
    <t>Cs-137 Blood Irradiator (RS-3400)</t>
  </si>
  <si>
    <t>Rad Source Technologies</t>
  </si>
  <si>
    <t>Medical – Blood Irradiation</t>
  </si>
  <si>
    <t>Up to 40,000 Ci (1,480,000 GBq)</t>
  </si>
  <si>
    <t>~13,000,000 µSv/h total</t>
  </si>
  <si>
    <t>Large-activity Cs-137 source for preventing transfusion-associated graft-vs-host disease. Significant orphan source concern.</t>
  </si>
  <si>
    <t>NRC 10 CFR 36; IAEA TECDOC-1010</t>
  </si>
  <si>
    <t>CsCl powder (dispersible!)</t>
  </si>
  <si>
    <t>Thick lead</t>
  </si>
  <si>
    <t>EXTREME (dispersibility)</t>
  </si>
  <si>
    <t>Gamma + Cs-137 powder contamination</t>
  </si>
  <si>
    <t>1 – EVACUATE; CsCl contamination risk; HAZMAT + NRC</t>
  </si>
  <si>
    <t>Research Irradiator (Gammacell 1000)</t>
  </si>
  <si>
    <t>MDS Nordion / Gammaster</t>
  </si>
  <si>
    <t>Industrial/Research – Sample Irradiation</t>
  </si>
  <si>
    <t>Up to 4,000 Ci (148,000 GBq)</t>
  </si>
  <si>
    <t>~100,000,000 µSv/h (core)</t>
  </si>
  <si>
    <t>Research/lab irradiator. Dense lead/steel shielding. Core access lethal.</t>
  </si>
  <si>
    <t>NRC 10 CFR 36; IAEA Safety Series 107</t>
  </si>
  <si>
    <t>Co-60 pencil array</t>
  </si>
  <si>
    <t>Lead/steel</t>
  </si>
  <si>
    <t>1 – EVACUATE; gamma survey; RSO + NRC</t>
  </si>
  <si>
    <t>HDR Co-60 Afterloader (BEBIG MultiSource)</t>
  </si>
  <si>
    <t>BEBIG / Eckert &amp; Ziegler</t>
  </si>
  <si>
    <t>~60 Ci (2,220 GBq)</t>
  </si>
  <si>
    <t>~5,000,000 µSv/h</t>
  </si>
  <si>
    <t>Longer-lived alternative to Ir-192 HDR. Used where infrequent source replacement preferred.</t>
  </si>
  <si>
    <t>Co-60 capsule, welded</t>
  </si>
  <si>
    <t>Lead shield + housing</t>
  </si>
  <si>
    <t>Welded stainless</t>
  </si>
  <si>
    <t>1 – Bare source = EVACUATE; use RSO long-handle tool</t>
  </si>
  <si>
    <t>I-125 Brachytherapy Seed (Prostatic)</t>
  </si>
  <si>
    <t>IsoAid / Eckert &amp; Ziegler (Advantage Seed)</t>
  </si>
  <si>
    <t>Medical – Permanent Brachytherapy</t>
  </si>
  <si>
    <t>I-125</t>
  </si>
  <si>
    <t>~0.4–0.6 mCi per seed (15–22 MBq); 40–120 seeds implanted</t>
  </si>
  <si>
    <t>59.4 days</t>
  </si>
  <si>
    <t>Gamma (27–35 keV)</t>
  </si>
  <si>
    <t>~0.03 µSv/h at 1 cm per seed</t>
  </si>
  <si>
    <t>Titanium-encapsulated seeds. Low external hazard; cremation/autopsy precautions needed.</t>
  </si>
  <si>
    <t>NRC 10 CFR 35.400; IAEA Safety Reports 56</t>
  </si>
  <si>
    <t>I-125 resin core + Ti shell</t>
  </si>
  <si>
    <t>None (low energy)</t>
  </si>
  <si>
    <t>Titanium welded</t>
  </si>
  <si>
    <t>Very low gamma</t>
  </si>
  <si>
    <t>5 – Handle with forceps; no bare hands; monitor for seed migration</t>
  </si>
  <si>
    <t>Pd-103 Brachytherapy Seed</t>
  </si>
  <si>
    <t>Theragenics TheraSeed</t>
  </si>
  <si>
    <t>Pd-103</t>
  </si>
  <si>
    <t>1.4 mCi per seed (52 MBq); multiple seeds implanted</t>
  </si>
  <si>
    <t>17 days</t>
  </si>
  <si>
    <t>X-ray (20–23 keV)</t>
  </si>
  <si>
    <t>Very low at 1 cm</t>
  </si>
  <si>
    <t>Similar to I-125 seeds. Very short range. Precautions for handling/disposal.</t>
  </si>
  <si>
    <t>NRC 10 CFR 35.400; AAPM TG-43</t>
  </si>
  <si>
    <t>Pd-103 graphite</t>
  </si>
  <si>
    <t>None (very low energy)</t>
  </si>
  <si>
    <t>Very low X-ray</t>
  </si>
  <si>
    <t>5 – Forceps handling; notify RSO; TG-43 protocol</t>
  </si>
  <si>
    <t>Pu-238 Nuclear Cardiac Pacemaker (NUMEC)</t>
  </si>
  <si>
    <t>Numec / Medtronic</t>
  </si>
  <si>
    <t>Medical – Implantable Cardiac Pacemaker</t>
  </si>
  <si>
    <t>Pu-238</t>
  </si>
  <si>
    <t>~2–5 mCi (75–185 MBq)</t>
  </si>
  <si>
    <t>87.7 yr</t>
  </si>
  <si>
    <t>Negligible external (alpha)</t>
  </si>
  <si>
    <t>Alpha-thermopile pacemaker. Implanted in ~4,000 patients 1970s. Alpha contained by encapsulation. Cremation/autopsy risk.</t>
  </si>
  <si>
    <t>NRC 10 CFR 35; AHA guidelines 1978</t>
  </si>
  <si>
    <t>PuO2 ceramic</t>
  </si>
  <si>
    <t>Ti/Pt alloy casing</t>
  </si>
  <si>
    <t>Welded hermetic</t>
  </si>
  <si>
    <t>LOW (implanted)</t>
  </si>
  <si>
    <t>Alpha (contained)</t>
  </si>
  <si>
    <t>5 – Do NOT cremate without HEPA; notify NRC; treat as radioactive implant at autopsy</t>
  </si>
  <si>
    <t>Ra-226 Sealed Brachytherapy Needle/Tube (Legacy)</t>
  </si>
  <si>
    <t>Various (pre-1970s)</t>
  </si>
  <si>
    <t>Medical – Legacy Brachytherapy</t>
  </si>
  <si>
    <t>Ra-226</t>
  </si>
  <si>
    <t>1–30 mg Ra-226 (37–1,110 MBq) per needle</t>
  </si>
  <si>
    <t>1,600 yr</t>
  </si>
  <si>
    <t>Alpha + Beta + Gamma</t>
  </si>
  <si>
    <t>2-3</t>
  </si>
  <si>
    <t>~1,000 µSv/h per mg at contact</t>
  </si>
  <si>
    <t>Legacy intracavitary/interstitial devices. Many unaccounted. Radon gas daughter product risk.</t>
  </si>
  <si>
    <t>IAEA TECDOC-1293; NRC IE Bulletin 82-02</t>
  </si>
  <si>
    <t>RaCl2 / RaBr2 in glass</t>
  </si>
  <si>
    <t>Platinum needle</t>
  </si>
  <si>
    <t>Platinum tube/needle</t>
  </si>
  <si>
    <t>HIGH (legacy)</t>
  </si>
  <si>
    <t>Alpha + beta + gamma + radon</t>
  </si>
  <si>
    <t>2 – Gamma survey; ventilation (radon); gloves; call RSO + NRC</t>
  </si>
  <si>
    <t>Tc-99m Generator (Radiopharmacy)</t>
  </si>
  <si>
    <t>Mallinckrodt / Curium / GE Healthcare</t>
  </si>
  <si>
    <t>Medical – Nuclear Medicine Imaging</t>
  </si>
  <si>
    <t>Mo-99 / Tc-99m</t>
  </si>
  <si>
    <t>2–20 Ci Mo-99 (74–740 GBq) eluted Tc-99m</t>
  </si>
  <si>
    <t>66 hr (Tc-99m); 66 hr (Mo-99)</t>
  </si>
  <si>
    <t>Gamma (140 keV)</t>
  </si>
  <si>
    <t>~50,000 µSv/h at 1 cm (high-activity Mo-99)</t>
  </si>
  <si>
    <t>Cow-and-calf generator. Tc-99m is most common nuclear medicine isotope. Mo-99 column decays rapidly.</t>
  </si>
  <si>
    <t>NRC 10 CFR 35.200; US Pharmacopeia</t>
  </si>
  <si>
    <t>Mo-99 alumina column → Tc-99m eluate</t>
  </si>
  <si>
    <t>Lead pig</t>
  </si>
  <si>
    <t>Alumina column sealed</t>
  </si>
  <si>
    <t>MODERATE (Mo-99)</t>
  </si>
  <si>
    <t>Gamma (technetium; molybdenum)</t>
  </si>
  <si>
    <t>3 – Lead pig handling; survey after elution; radiopharmacy SOP</t>
  </si>
  <si>
    <t>F-18 FDG PET Unit (Dose Vial)</t>
  </si>
  <si>
    <t>Siemens / Cyclotron Production</t>
  </si>
  <si>
    <t>Medical – PET Imaging</t>
  </si>
  <si>
    <t>F-18</t>
  </si>
  <si>
    <t>1–50 mCi per dose (37–1,850 MBq)</t>
  </si>
  <si>
    <t>110 min</t>
  </si>
  <si>
    <t>Gamma (511 keV annihilation)</t>
  </si>
  <si>
    <t>~100,000 µSv/h per 50 mCi at contact</t>
  </si>
  <si>
    <t>Very short HL. PET scanner shielding critical. Positron annihilation = 511 keV gamma pairs. Cyclotron proximity hazard.</t>
  </si>
  <si>
    <t>NRC 10 CFR 35.200; IAEA RSP-007</t>
  </si>
  <si>
    <t>F-18 NaF/FDG solution</t>
  </si>
  <si>
    <t>Lead + acrylic syringe shield</t>
  </si>
  <si>
    <t>Sealed vial</t>
  </si>
  <si>
    <t>LOW (rapid decay)</t>
  </si>
  <si>
    <t>511 keV gamma pairs</t>
  </si>
  <si>
    <t>3 – Syringe shield mandatory; survey; dose will decay rapidly</t>
  </si>
  <si>
    <t>I-131 Thyroid Therapy (NaI capsule)</t>
  </si>
  <si>
    <t>Mallinckrodt / Lantheus</t>
  </si>
  <si>
    <t>Medical – Thyroid Treatment</t>
  </si>
  <si>
    <t>I-131</t>
  </si>
  <si>
    <t>100–200 mCi (3,700–7,400 MBq)</t>
  </si>
  <si>
    <t>8.02 days</t>
  </si>
  <si>
    <t>Beta + Gamma (364 keV)</t>
  </si>
  <si>
    <t>~5,000 µSv/h at 1 m (200 mCi)</t>
  </si>
  <si>
    <t>Patient becomes a radioactive source post-administration. Vomit, saliva, urine all contaminated. Special room required.</t>
  </si>
  <si>
    <t>NRC 10 CFR 35.300; AAPM TG-131</t>
  </si>
  <si>
    <t>NaI solution/capsule</t>
  </si>
  <si>
    <t>Lead-lined container</t>
  </si>
  <si>
    <t>Sealed capsule</t>
  </si>
  <si>
    <t>Beta + gamma; urine/saliva contaminated</t>
  </si>
  <si>
    <t>2 – Lead apron; patient room contaminated; thyroid blocking for responders</t>
  </si>
  <si>
    <t>Tritium Exit Sign (H-3 Radioluminescent)</t>
  </si>
  <si>
    <t>Everlux / Safety Sign Company</t>
  </si>
  <si>
    <t>Industrial/Civil – Emergency Lighting</t>
  </si>
  <si>
    <t>H-3 (Tritium)</t>
  </si>
  <si>
    <t>~25 Ci (925 GBq) per sign</t>
  </si>
  <si>
    <t>12.3 yr</t>
  </si>
  <si>
    <t>Beta (low energy)</t>
  </si>
  <si>
    <t>~0 external</t>
  </si>
  <si>
    <t>Pure low-energy beta. External hazard essentially zero. Internal hazard if tube broken and tritium inhaled/ingested.</t>
  </si>
  <si>
    <t>NRC 10 CFR 30 (general licence); EU Regulation 1493/93</t>
  </si>
  <si>
    <t>Tritium gas in glass tubes</t>
  </si>
  <si>
    <t>Plastic casing</t>
  </si>
  <si>
    <t>Glass vial</t>
  </si>
  <si>
    <t>LOW (fire)</t>
  </si>
  <si>
    <t>Tritium gas inhalation if broken</t>
  </si>
  <si>
    <t>4 – Ventilate if broken; no external dose; avoid inhalation</t>
  </si>
  <si>
    <t>Ra-226 Radium Luminescent Watch/Dial (Vintage)</t>
  </si>
  <si>
    <t>Various Swiss/US (pre-1960s)</t>
  </si>
  <si>
    <t>Consumer – Vintage Timepieces</t>
  </si>
  <si>
    <t>Ra-226 + daughters</t>
  </si>
  <si>
    <t>~0.1–5 µCi (4–185 kBq)</t>
  </si>
  <si>
    <t>&lt;5 µSv/h at 1 m</t>
  </si>
  <si>
    <t>Legacy consumer items. Ra-226 dust inhalation hazard if dial fractured. Many in collections. Radon off-gassing.</t>
  </si>
  <si>
    <t>EPA 402-R-92-014; NRC IE Circ. 81-07</t>
  </si>
  <si>
    <t>Ra-226 paint on dial</t>
  </si>
  <si>
    <t>Glass face (partial)</t>
  </si>
  <si>
    <t>Open if cracked</t>
  </si>
  <si>
    <t>Alpha dust inhalation; radon off-gassing</t>
  </si>
  <si>
    <t>3 – Do not handle cracked dials; radon survey in storage; gloves + mask</t>
  </si>
  <si>
    <t>Pm-147 Thin-Film Thickness Gauge</t>
  </si>
  <si>
    <t>Various (industrial)</t>
  </si>
  <si>
    <t>Industrial – Film/Foil Measurement</t>
  </si>
  <si>
    <t>Pm-147</t>
  </si>
  <si>
    <t>Up to 50 mCi (1,850 MBq)</t>
  </si>
  <si>
    <t>2.62 yr</t>
  </si>
  <si>
    <t>Very low external</t>
  </si>
  <si>
    <t>Low-energy beta. Skin dose if window damaged. Ingestion hazard. Short half-life moderates long-term concern.</t>
  </si>
  <si>
    <t>NRC 10 CFR 30; ANSI N13.11</t>
  </si>
  <si>
    <t>Pm-147 ceramic/foil</t>
  </si>
  <si>
    <t>Steel housing</t>
  </si>
  <si>
    <t>Low-energy beta</t>
  </si>
  <si>
    <t>4 – Beta survey; no whole-body hazard; PPE gloves</t>
  </si>
  <si>
    <t>Ni-63 Gas Chromatograph ECD Detector</t>
  </si>
  <si>
    <t>Varian / Agilent / Various</t>
  </si>
  <si>
    <t>Laboratory – Gas Chromatography</t>
  </si>
  <si>
    <t>Ni-63</t>
  </si>
  <si>
    <t>15–30 mCi (555–1,110 MBq)</t>
  </si>
  <si>
    <t>100.1 yr</t>
  </si>
  <si>
    <t>Beta (low, 67 keV max)</t>
  </si>
  <si>
    <t>Negligible external</t>
  </si>
  <si>
    <t>Electron capture detector foil. 100-yr half-life. Contained hazard; no external dose.</t>
  </si>
  <si>
    <t>NRC 10 CFR 30; EPA Method 8081</t>
  </si>
  <si>
    <t>Ni-63 foil</t>
  </si>
  <si>
    <t>GC column housing</t>
  </si>
  <si>
    <t>Metal foil sealed</t>
  </si>
  <si>
    <t>5 – No action if intact; dispose via licensed waste contractor</t>
  </si>
  <si>
    <t>Am-241 Multi-Element Calibration Source</t>
  </si>
  <si>
    <t>Laboratory – Detector Calibration</t>
  </si>
  <si>
    <t>Am-241 (+ Ba-133, Co-57, Eu-152, Na-22, Mn-54)</t>
  </si>
  <si>
    <t>1–10 µCi per nuclide (37–370 kBq)</t>
  </si>
  <si>
    <t>432 yr (Am-241)</t>
  </si>
  <si>
    <t>Alpha + Gamma (multiple energies)</t>
  </si>
  <si>
    <t>&lt;1 µSv/h</t>
  </si>
  <si>
    <t>Multi-nuclide calibration disc. Minimal hazard in intact form. Gamma spectrometry reference standard.</t>
  </si>
  <si>
    <t>NRC 10 CFR 30 (general/specific licence)</t>
  </si>
  <si>
    <t>Plastic disk housing</t>
  </si>
  <si>
    <t>Epoxy/stainless sealed</t>
  </si>
  <si>
    <t>Alpha + low gamma</t>
  </si>
  <si>
    <t>5 – Handle by disk edge; no bare hands; log and secure</t>
  </si>
  <si>
    <t>Soil Moisture Gauge (Portable)</t>
  </si>
  <si>
    <t>Troxler / CPN (Campbell Pacific Nuclear)</t>
  </si>
  <si>
    <t>Industrial – Construction/Road Building</t>
  </si>
  <si>
    <t>10 mCi (370 MBq); 40 mCi (1,480 MBq)</t>
  </si>
  <si>
    <t>~500 µSv/h close to source rod</t>
  </si>
  <si>
    <t>Portable device. Staff theft/loss historically common. Rod retraction system; surface-reading mode.</t>
  </si>
  <si>
    <t>NRC 10 CFR 30; ASTM D3017</t>
  </si>
  <si>
    <t>Cs-137 ceramic + AmBe rod</t>
  </si>
  <si>
    <t>Stainless capsule</t>
  </si>
  <si>
    <t>HIGH (theft history)</t>
  </si>
  <si>
    <t>Gamma + neutrons</t>
  </si>
  <si>
    <t>2 – Neutron and gamma survey; secure; NRC notification</t>
  </si>
  <si>
    <t>Food/Medical Sterilization Irradiator</t>
  </si>
  <si>
    <t>Sterigenics / Nordion</t>
  </si>
  <si>
    <t>Industrial – Radiation Sterilization</t>
  </si>
  <si>
    <t>Up to 2,000,000 Ci (74,000,000 GBq)</t>
  </si>
  <si>
    <t>Core: lethal in fraction of a second</t>
  </si>
  <si>
    <t>Massive pool-type pencil irradiator. Dual-key interlock. Multiple fatalities in history (El Salvador 1989, Decatur IL 1974).</t>
  </si>
  <si>
    <t>NRC 10 CFR 36; IAEA SSG-8</t>
  </si>
  <si>
    <t>Concrete + water pool</t>
  </si>
  <si>
    <t>Gamma (very high flux)</t>
  </si>
  <si>
    <t>1 – EVACUATE all personnel; lethal in seconds; NRC + law enforcement</t>
  </si>
  <si>
    <t>Gem/Polymer Radiation Processor</t>
  </si>
  <si>
    <t>MDS Nordion / IBA</t>
  </si>
  <si>
    <t>Industrial – Gem Treatment/Polymer Crosslinking</t>
  </si>
  <si>
    <t>Co-60; E-beam</t>
  </si>
  <si>
    <t>Up to 100,000 Ci (3,700,000 GBq)</t>
  </si>
  <si>
    <t>~10,000,000 µSv/h (core)</t>
  </si>
  <si>
    <t>Used to color topaz/diamonds and crosslink polymers. Source pencils in water pool.</t>
  </si>
  <si>
    <t>1 – EVACUATE; same as sterilization irradiator; NRC notify</t>
  </si>
  <si>
    <t>Y-90 Radioembolization (TheraSphere)</t>
  </si>
  <si>
    <t>Boston Scientific (Bracco/BTG)</t>
  </si>
  <si>
    <t>Medical – Liver Cancer Radioembolization</t>
  </si>
  <si>
    <t>Y-90</t>
  </si>
  <si>
    <t>~3–6 GBq per dose (glass microspheres 20–30 µm)</t>
  </si>
  <si>
    <t>64 hr</t>
  </si>
  <si>
    <t>Beta (pure, 2.27 MeV max)</t>
  </si>
  <si>
    <t>~50,000 µSv/h at vial surface</t>
  </si>
  <si>
    <t>Glass microspheres injected into hepatic artery. Bremsstrahlung X-ray hazard from vial. Patient excretes minimal dose.</t>
  </si>
  <si>
    <t>NRC 10 CFR 35.1000; FDA PMA P980021</t>
  </si>
  <si>
    <t>Y-90 glass microspheres</t>
  </si>
  <si>
    <t>Lead transport cylinder + acrylic shield</t>
  </si>
  <si>
    <t>Glass microspheres (20–30µm)</t>
  </si>
  <si>
    <t>LOW (post-admin)</t>
  </si>
  <si>
    <t>Beta + bremsstrahlung; patient GI/urine</t>
  </si>
  <si>
    <t>3 – Acrylic/lead shield for vial; gloves; patient bodily fluids contaminated</t>
  </si>
  <si>
    <t>Y-90 Radioembolization (SIR-Spheres)</t>
  </si>
  <si>
    <t>Sirtex Medical</t>
  </si>
  <si>
    <t>~2–3 GBq per dose (resin microspheres)</t>
  </si>
  <si>
    <t>Beta (pure)</t>
  </si>
  <si>
    <t>~30,000 µSv/h at vial surface</t>
  </si>
  <si>
    <t>Resin microspheres; higher embolization than TheraSphere. Lead pot transport.</t>
  </si>
  <si>
    <t>NRC 10 CFR 35.1000; FDA PMA P990065</t>
  </si>
  <si>
    <t>Y-90 resin microspheres</t>
  </si>
  <si>
    <t>Lead pot</t>
  </si>
  <si>
    <t>Resin microspheres</t>
  </si>
  <si>
    <t>Beta; patient GI/urine</t>
  </si>
  <si>
    <t>3 – Lead pot; gloves; patient body waste contaminated</t>
  </si>
  <si>
    <t>Radiation Portal Monitor Cal. Source</t>
  </si>
  <si>
    <t>Various</t>
  </si>
  <si>
    <t>Security – Border/Port Calibration</t>
  </si>
  <si>
    <t>Cs-137; Co-57</t>
  </si>
  <si>
    <t>1–100 mCi (37–3,700 MBq)</t>
  </si>
  <si>
    <t>30.2 yr; 271.8 days</t>
  </si>
  <si>
    <t>4-5</t>
  </si>
  <si>
    <t>LOW–MODERATE</t>
  </si>
  <si>
    <t>Calibrated output; safe at arms length</t>
  </si>
  <si>
    <t>Used to calibrate RPMs at borders/ports. Stored in secure containers.</t>
  </si>
  <si>
    <t>NRC 10 CFR 30; ANSI N42.35</t>
  </si>
  <si>
    <t>CsCl / CoNi alloy</t>
  </si>
  <si>
    <t>Lead container</t>
  </si>
  <si>
    <t>Stainless welded</t>
  </si>
  <si>
    <t>4 – Secure in lead pig; survey; notify RSO</t>
  </si>
  <si>
    <t>NASA GPHS-RTG (Cassini/New Horizons)</t>
  </si>
  <si>
    <t>Department of Energy (INL)</t>
  </si>
  <si>
    <t>Aerospace/Space – Spacecraft Power</t>
  </si>
  <si>
    <t>~10.9 kg Pu-238 per RTG (~4,400W thermal initial)</t>
  </si>
  <si>
    <t>~500,000,000 µSv/h at fuel surface</t>
  </si>
  <si>
    <t>General Purpose Heat Source RTG. Alpha emitter; catastrophic if fuel dispersed in launch accident.</t>
  </si>
  <si>
    <t>NASA-STD-8719.12; NRC/DOE review; INSRP</t>
  </si>
  <si>
    <t>PuO2 ceramic pellets</t>
  </si>
  <si>
    <t>Ir metal cladding + graphite impact shell</t>
  </si>
  <si>
    <t>Welded hermetic multi-layer</t>
  </si>
  <si>
    <t>EXTREME (launch scenario)</t>
  </si>
  <si>
    <t>Alpha + decay heat</t>
  </si>
  <si>
    <t>1 – Do NOT approach if damaged; alpha dispersal; FEMA + DOE</t>
  </si>
  <si>
    <t>SNAP-9A Navigation Satellite RTG</t>
  </si>
  <si>
    <t>US Navy / AEC</t>
  </si>
  <si>
    <t>Aerospace/Military – Navigation Satellite</t>
  </si>
  <si>
    <t>~17,000 Ci (629 GBq) Pu-238</t>
  </si>
  <si>
    <t>Alpha; hazard only if dispersed</t>
  </si>
  <si>
    <t>SNAP-9A failed re-entry (1964) released Pu-238 globally. TRANSIT satellite series.</t>
  </si>
  <si>
    <t>NRC historical; DTRA DOE archives</t>
  </si>
  <si>
    <t>Pu-238 fuel</t>
  </si>
  <si>
    <t>Graphite + steel</t>
  </si>
  <si>
    <t>EXTREME (re-entry failure)</t>
  </si>
  <si>
    <t>Alpha (dispersed globally 1964)</t>
  </si>
  <si>
    <t>1 – Historical; if found: ISOLATE; DOE + NRC notify</t>
  </si>
  <si>
    <t>DU Anti-Armor Penetrator (30mm PGU-20 / A-10 Warthog)</t>
  </si>
  <si>
    <t>General Dynamics / US Air Force</t>
  </si>
  <si>
    <t>Military – Anti-Armor Munitions</t>
  </si>
  <si>
    <t>U-238 (Depleted)</t>
  </si>
  <si>
    <t>Variable per round; ~300 g DU per round</t>
  </si>
  <si>
    <t>4.47 billion yr</t>
  </si>
  <si>
    <t>Alpha + weak gamma</t>
  </si>
  <si>
    <t>N/A – DU &lt; D1</t>
  </si>
  <si>
    <t>LOW (contained); HIGH (post-impact dust)</t>
  </si>
  <si>
    <t>~1 µSv/h at 1 m intact; dispersal hazard on impact</t>
  </si>
  <si>
    <t>DU pyrophoric on impact; 30% burns releasing uranium oxide aerosol. Used in Kosovo, Iraq, Gulf War. NATO A-10 Warthog GAU-8/A cannon.</t>
  </si>
  <si>
    <t>IAEA 2003 GOV; NATO AC/326 SG-N(03)5; FAO/WHO</t>
  </si>
  <si>
    <t>DU metal rod (pyrophoric)</t>
  </si>
  <si>
    <t>Sabot (plastic, discards)</t>
  </si>
  <si>
    <t>None (bare metal penetrator)</t>
  </si>
  <si>
    <t>HIGH (post-battlefield)</t>
  </si>
  <si>
    <t>Alpha + uranium oxide aerosol on impact</t>
  </si>
  <si>
    <t>2 – Site survey; alpha wipe tests; DNBI; no bare skin contact; NIOSH PPE</t>
  </si>
  <si>
    <t>DU Tank Armor Insert (M1 Abrams Chobham)</t>
  </si>
  <si>
    <t>US Army / General Dynamics Land Systems</t>
  </si>
  <si>
    <t>Military – Armor Protection</t>
  </si>
  <si>
    <t>~1,000–3,000 kg per vehicle</t>
  </si>
  <si>
    <t>N/A – DU general licence</t>
  </si>
  <si>
    <t>LOW (contained; alpha)</t>
  </si>
  <si>
    <t>&lt;1 µSv/h at 1 m exterior</t>
  </si>
  <si>
    <t>Composite DU-depleted uranium armor sandwiched in Chobham armor array. Alpha emitter externally negligible; hazard only if damaged/burning.</t>
  </si>
  <si>
    <t>FM 3-3-1; DTRA guidelines</t>
  </si>
  <si>
    <t>DU metal plates in composite</t>
  </si>
  <si>
    <t>Steel facing</t>
  </si>
  <si>
    <t>DU within laminate</t>
  </si>
  <si>
    <t>LOW (intact vehicle)</t>
  </si>
  <si>
    <t>Alpha (if damaged/burning)</t>
  </si>
  <si>
    <t>3 – Alpha survey if vehicle burning; DNBI; avoid inhalation</t>
  </si>
  <si>
    <t>Boeing 747 DU Tail Counterweight</t>
  </si>
  <si>
    <t>National Lead / Boeing</t>
  </si>
  <si>
    <t>Aeronautical – Aircraft Balance</t>
  </si>
  <si>
    <t>12–83 lbs (5.5–37.7 kg) per weight; 692–1059 lbs total per aircraft</t>
  </si>
  <si>
    <t>N/A – exempt (general licence &lt;15 lbs individual)</t>
  </si>
  <si>
    <t>&lt;0.8 µrem/h at 1 m (crew/passengers)</t>
  </si>
  <si>
    <t>Used in 747 built 1968–1981 (21–316 counterweights per tail assembly). Replaced by tungsten post-1981. Crash/fire hazard = uranium oxide dust.</t>
  </si>
  <si>
    <t>NRC ML032180089; FAA AC 20-123; AAIB report</t>
  </si>
  <si>
    <t>Cast DU metal (triangular prism)</t>
  </si>
  <si>
    <t>Cadmium plating + paint</t>
  </si>
  <si>
    <t>Cadmium plated</t>
  </si>
  <si>
    <t>MODERATE (crash recovery)</t>
  </si>
  <si>
    <t>Alpha + uranium oxide (fire/crash)</t>
  </si>
  <si>
    <t>3 – FAA AC 20-123; alpha wipe; avoid cutting/grinding; NRC notify</t>
  </si>
  <si>
    <t>L-1011 / DC-10 / 727 DU Aircraft Counterweight</t>
  </si>
  <si>
    <t>Various Manufacturers</t>
  </si>
  <si>
    <t>11–191 lbs (5–87 kg) per weight; sets &gt;1,000 lbs total</t>
  </si>
  <si>
    <t>N/A – exempt</t>
  </si>
  <si>
    <t>Negligible in flight</t>
  </si>
  <si>
    <t>DU counterweights used on L-1011, DC-10, 727, JetStar and military aircraft. NRC estimates ~2 million lbs DU in service worldwide (commercial alone).</t>
  </si>
  <si>
    <t>NRC ML010860406; FAA AC 20-123</t>
  </si>
  <si>
    <t>Cast DU metal</t>
  </si>
  <si>
    <t>3 – Same as 747 DU counterweight protocol; NRC; FAA</t>
  </si>
  <si>
    <t>Ra-226 WWII/Cold War Cockpit Instrument</t>
  </si>
  <si>
    <t>Various (US/UK/USSR manufacturers)</t>
  </si>
  <si>
    <t>Aeronautical – Vintage Instrument Collection</t>
  </si>
  <si>
    <t>~0.1–10 µCi (4–370 kBq) per instrument</t>
  </si>
  <si>
    <t>Alpha + Beta + Gamma (radon daughters)</t>
  </si>
  <si>
    <t>&lt;50 µSv/h at contact</t>
  </si>
  <si>
    <t>Luminous dial altimeters, compasses, airspeed indicators. Ra-226 paint still active; radon gas off-gassing. Many in museum/private collections. NRC notified multiple museums.</t>
  </si>
  <si>
    <t>NRC ML18131A356; The Aviationist 2018</t>
  </si>
  <si>
    <t>Ra-226 luminous paint (degraded)</t>
  </si>
  <si>
    <t>Glass face</t>
  </si>
  <si>
    <t>Glass vial (may be cracked)</t>
  </si>
  <si>
    <t>HIGH (collections)</t>
  </si>
  <si>
    <t>Alpha dust + radon gas</t>
  </si>
  <si>
    <t>2 – Do not open; radon survey storage area; gloves; NRC notification</t>
  </si>
  <si>
    <t>Military Radiac Calibrator AN/UDM-2</t>
  </si>
  <si>
    <t>US Army Signal Corps</t>
  </si>
  <si>
    <t>Military – Radiac Equipment Calibration</t>
  </si>
  <si>
    <t>Sr-90 / Y-90</t>
  </si>
  <si>
    <t>Small check source (exempt quantity)</t>
  </si>
  <si>
    <t>Negligible</t>
  </si>
  <si>
    <t>Check/calibration source for AN/PDR-27 and AN/PDR-60 radiac sets. Used to verify meter function.</t>
  </si>
  <si>
    <t>TM 11-6665-227-12; DTRA</t>
  </si>
  <si>
    <t>Sr-90/Y-90 check source foil</t>
  </si>
  <si>
    <t>Sealed foil</t>
  </si>
  <si>
    <t>5 – Handle as low-level source; TM procedures</t>
  </si>
  <si>
    <t>Military Radiac Calibrator AN/UDM-6</t>
  </si>
  <si>
    <t>US Army</t>
  </si>
  <si>
    <t>Pu-239</t>
  </si>
  <si>
    <t>Small alpha check source in rotating jig (~exempt quantity)</t>
  </si>
  <si>
    <t>24,110 yr</t>
  </si>
  <si>
    <t>LOW (contained)</t>
  </si>
  <si>
    <t>Used with AN/PDR-77 alpha probe calibration. Pu-239 alpha jig mounted in calibration fixture. Alpha hazard if source damaged.</t>
  </si>
  <si>
    <t>NRC ML070590562; CECOM/E-TR-92-1</t>
  </si>
  <si>
    <t>Pu-239 alpha disc</t>
  </si>
  <si>
    <t>Calibration fixture</t>
  </si>
  <si>
    <t>Sealed disc</t>
  </si>
  <si>
    <t>Alpha only (contained)</t>
  </si>
  <si>
    <t>4 – Alpha survey; no bare hands; Army disposal procedures</t>
  </si>
  <si>
    <t>Pu-238 Nuclear Cardiac Pacemaker (Telectronics/NUMEC model)</t>
  </si>
  <si>
    <t>NUMEC / Telectronics / Pacesetter</t>
  </si>
  <si>
    <t>Medical – Implantable Pacemaker</t>
  </si>
  <si>
    <t>2–5 mCi (74–185 MBq) Pu-238</t>
  </si>
  <si>
    <t>Negligible external (alpha contained)</t>
  </si>
  <si>
    <t>~4,000+ implanted 1970s–1980s. Alpha fully contained by Ti/Pt housing. Hazard = cremation (HEPA filter req.) or post-mortem handling. Cannot be MRI scanned.</t>
  </si>
  <si>
    <t>NRC 10 CFR 35; Circ. Suppl. 1998; Greatbatch patent</t>
  </si>
  <si>
    <t>PuO2 in Ti/Pt capsule</t>
  </si>
  <si>
    <t>Ti/Pt casing</t>
  </si>
  <si>
    <t>Welded hermetic Ti/Pt</t>
  </si>
  <si>
    <t>Alpha (fully contained unless compromised)</t>
  </si>
  <si>
    <t>5 – Do NOT cremate; autopsy precaution; HEPA; NRC Form 748</t>
  </si>
  <si>
    <t>Ni-63 Betavoltaic Battery (Betavolt BV100)</t>
  </si>
  <si>
    <t>Betavolt New Energy Tech. Co. (Beijing)</t>
  </si>
  <si>
    <t>Civilian/Military – Nano Power Source</t>
  </si>
  <si>
    <t>&lt;100 µCi per unit (micro-curie scale)</t>
  </si>
  <si>
    <t>Beta (67 keV max)</t>
  </si>
  <si>
    <t>Coin-sized nuclear battery; 100 µW, 3V, 50-year lifespan. Diamond semiconductor converter. Civilian IoT/medical device applications emerging.</t>
  </si>
  <si>
    <t>ACS 2025; Battery Power Tips 2024</t>
  </si>
  <si>
    <t>Ni-63 foil + diamond converter</t>
  </si>
  <si>
    <t>Titanium/polymer package</t>
  </si>
  <si>
    <t>Sealed module</t>
  </si>
  <si>
    <t>Negligible beta</t>
  </si>
  <si>
    <t>5 – No action; handle as electronic device; emerging tech</t>
  </si>
  <si>
    <t>C-14 Betavoltaic Battery (Research Prototype)</t>
  </si>
  <si>
    <t>University research (multiple groups)</t>
  </si>
  <si>
    <t>Research – Ultra-Long-Life Power</t>
  </si>
  <si>
    <t>C-14</t>
  </si>
  <si>
    <t>Micro-curie scale (research prototype)</t>
  </si>
  <si>
    <t>5,730 yr</t>
  </si>
  <si>
    <t>Research stage betavoltaic using C-14 (nuclear waste byproduct). Ruthenium dye + TiO2 converter. Theoretical millennia lifespan.</t>
  </si>
  <si>
    <t>ACS March 2025</t>
  </si>
  <si>
    <t>C-14 solution/solid</t>
  </si>
  <si>
    <t>Research enclosure</t>
  </si>
  <si>
    <t>Research prototype</t>
  </si>
  <si>
    <t>5 – Research lab SOP; LSC if spill; standard rad lab precautions</t>
  </si>
  <si>
    <t>Thoriated Tungsten TIG Welding Electrode (EWTh-2)</t>
  </si>
  <si>
    <t>Various manufacturers (industry standard)</t>
  </si>
  <si>
    <t>Industrial – TIG Welding</t>
  </si>
  <si>
    <t>Th-232 (2%)</t>
  </si>
  <si>
    <t>~2% ThO2 by weight; ~100–800 Bq/g</t>
  </si>
  <si>
    <t>14.05 billion yr</t>
  </si>
  <si>
    <t>Alpha (primarily)</t>
  </si>
  <si>
    <t>LOW (external); MODERATE (inhalation during grinding)</t>
  </si>
  <si>
    <t>Negligible external; dust inhalation risk during sharpening</t>
  </si>
  <si>
    <t>Standard TIG welding electrode. ThO2 lowers work function. Major hazard = grinding dust inhalation (alpha carcinogen). &gt;1 billion electrodes in use globally.</t>
  </si>
  <si>
    <t>TWI FAQ; PubMed 6706595; Benchmark Abrasives</t>
  </si>
  <si>
    <t>ThO2 in tungsten matrix</t>
  </si>
  <si>
    <t>None (bare rod)</t>
  </si>
  <si>
    <t>Sintered ThO2/W</t>
  </si>
  <si>
    <t>LOW (intact); HIGH grinding dust</t>
  </si>
  <si>
    <t>Alpha inhalation during grinding</t>
  </si>
  <si>
    <t>3 – N95/P100 mask when grinding; local exhaust ventilation; dispose via licensed contractor</t>
  </si>
  <si>
    <t>Thorium Gas Lantern Mantle (Coleman/vintage)</t>
  </si>
  <si>
    <t>Coleman / Various camping brands</t>
  </si>
  <si>
    <t>Consumer – Gas Lantern Lighting</t>
  </si>
  <si>
    <t>Th-232 + daughters</t>
  </si>
  <si>
    <t>482–683 Bq/g Th-232; 240–345 Bq/g Ra-228; 224–345 Bq/g Th-228</t>
  </si>
  <si>
    <t>Alpha + gamma (daughters)</t>
  </si>
  <si>
    <t>LOW (external); MODERATE (if ash inhaled)</t>
  </si>
  <si>
    <t>Negligible external; inhalation hazard if burned mantle ash disturbed</t>
  </si>
  <si>
    <t>Thoriated mantles still sold in some markets. Combustion concentrates Th daughters in ash. Korean regulation: max 700 Bq/g Th.</t>
  </si>
  <si>
    <t>PubMed 6706595; Pure TU/e 1985; KAERI 2023</t>
  </si>
  <si>
    <t>ThO2 impregnated mesh</t>
  </si>
  <si>
    <t>None (open mesh)</t>
  </si>
  <si>
    <t>None (mesh)</t>
  </si>
  <si>
    <t>Th-232 + daughters in ash inhalation</t>
  </si>
  <si>
    <t>4 – Do not burn in enclosed space; do not inhale ash; dispose via licensed contractor</t>
  </si>
  <si>
    <t>Lu-177 DOTATATE (Lutathera) Radiopharmaceutical</t>
  </si>
  <si>
    <t>Advanced Accelerator Applications (Novartis)</t>
  </si>
  <si>
    <t>Medical – Targeted Radionuclide Therapy</t>
  </si>
  <si>
    <t>Lu-177</t>
  </si>
  <si>
    <t>7.4 GBq (200 mCi) per dose cycle; 4 cycles</t>
  </si>
  <si>
    <t>6.74 days</t>
  </si>
  <si>
    <t>Beta (498 keV) + low-energy gamma</t>
  </si>
  <si>
    <t>~5,000–20,000 µSv/h at vial (per dose)</t>
  </si>
  <si>
    <t>Peptide receptor radionuclide therapy for NETs. Patient bodily fluids contaminated 24–72h post-dose. Lead/acrylic shielding during dispensing.</t>
  </si>
  <si>
    <t>FDA approval 2018; NRC 10 CFR 35.1000; SNMMI 2025</t>
  </si>
  <si>
    <t>Lu-177 in DOTA-TATE solution</t>
  </si>
  <si>
    <t>Lead + acrylic dispensing shield</t>
  </si>
  <si>
    <t>Sealed glass vial</t>
  </si>
  <si>
    <t>MODERATE (patient)</t>
  </si>
  <si>
    <t>Beta + gamma from patient excreta</t>
  </si>
  <si>
    <t>2 – Lead+acrylic shield; patient urine/feces contaminated 48h; thyroid not at risk; survey room post-patient</t>
  </si>
  <si>
    <t>Lu-177 PSMA-617 (Pluvicto) Radiopharmaceutical</t>
  </si>
  <si>
    <t>7.4 GBq (200 mCi) per dose; up to 6 cycles</t>
  </si>
  <si>
    <t>Beta + low gamma</t>
  </si>
  <si>
    <t>~5,000–20,000 µSv/h at vial</t>
  </si>
  <si>
    <t>FDA-approved 2022 for mCRPC. Similar handling to Lutathera. Patient isolation for 24h post-infusion. Dosimetry imaging required.</t>
  </si>
  <si>
    <t>FDA approval 2022; NRC 10 CFR 35.1000; SNMMI 2025</t>
  </si>
  <si>
    <t>Lu-177 in PSMA ligand solution</t>
  </si>
  <si>
    <t>Lead + acrylic shield</t>
  </si>
  <si>
    <t>Beta + gamma excreta</t>
  </si>
  <si>
    <t>2 – Same as Lu-177 DOTATATE; patient isolation 24h; NRC authorized user required</t>
  </si>
  <si>
    <t>Ra-223 Xofigo Injection (Radium Dichloride)</t>
  </si>
  <si>
    <t>Bayer</t>
  </si>
  <si>
    <t>Medical – Bone Metastases Treatment</t>
  </si>
  <si>
    <t>Ra-223</t>
  </si>
  <si>
    <t>6 mL vial, 1,000 kBq/mL (27 µCi/mL) at reference date; 50 kBq/kg dose</t>
  </si>
  <si>
    <t>11.43 days</t>
  </si>
  <si>
    <t>Alpha (high LET, 80 keV/µm)</t>
  </si>
  <si>
    <t>&lt;100 µSv/h at vial</t>
  </si>
  <si>
    <t>Alpha emitter mimics calcium; targets bone mets. Excreted via GI tract. Stool contamination up to 2 weeks post-dose. Lead shielding for vial.</t>
  </si>
  <si>
    <t>FDA PMA 2013; NRC 10 CFR 35.1000; Bayer PI 2013</t>
  </si>
  <si>
    <t>Ra-223 in saline solution</t>
  </si>
  <si>
    <t>Lead-lined vial container</t>
  </si>
  <si>
    <t>Alpha + daughters in stool/urine 2 weeks</t>
  </si>
  <si>
    <t>2 – Lead vial shielding; patient stool contaminated; alpha wipe of room; gloves</t>
  </si>
  <si>
    <t>Sr-90/Y-90 Ophthalmic Beta Applicator</t>
  </si>
  <si>
    <t>Eckert &amp; Ziegler / Resotech</t>
  </si>
  <si>
    <t>Medical – Eye Tumor Brachytherapy</t>
  </si>
  <si>
    <t>Calibrated per applicator; dose rate ≥6,000 cGy/h (posterior); ≥25,000 cGy/h (anterior)</t>
  </si>
  <si>
    <t>Beta (2.28 MeV max Y-90)</t>
  </si>
  <si>
    <t>~6,000 cGy/h at working surface</t>
  </si>
  <si>
    <t>Concave applicator pressed to eye surface. Curved shapes (SIA, SIB, etc.). Pure beta = rapid drop-off in tissue.</t>
  </si>
  <si>
    <t>Resotech TS 2016; Scribd SR-90 brachytherapy</t>
  </si>
  <si>
    <t>Sr-90 in steel backing</t>
  </si>
  <si>
    <t>Applicator handle (no shielding needed far from surface)</t>
  </si>
  <si>
    <t>Sealed curved applicator</t>
  </si>
  <si>
    <t>Beta (surface-limited)</t>
  </si>
  <si>
    <t>3 – Forceps; do not contact working face; beta survey; return to shielded case</t>
  </si>
  <si>
    <t>Ru-106/Rh-106 Eye Plaque (Uveal Melanoma)</t>
  </si>
  <si>
    <t>Eckert &amp; Ziegler BEBIG (BEBIG CCA)</t>
  </si>
  <si>
    <t>Medical – Ophthalmic Brachytherapy</t>
  </si>
  <si>
    <t>Ru-106 / Rh-106</t>
  </si>
  <si>
    <t>Calibrated per plaque; apex dose ~100–141 Gy; scleral dose ~558 Gy</t>
  </si>
  <si>
    <t>1.02 yr (Ru-106)</t>
  </si>
  <si>
    <t>~10,000 µSv/h at plaque surface</t>
  </si>
  <si>
    <t>Gold-backed Ru-106 concave plaque. Sutured to sclera for days. Standard in Europe/Asia for uveal melanoma ≤5 mm depth.</t>
  </si>
  <si>
    <t>PMC 7392724; Karger 2014; PMC 4664055</t>
  </si>
  <si>
    <t>RuO2 in gold backing</t>
  </si>
  <si>
    <t>Gold plaque (partial beta shield)</t>
  </si>
  <si>
    <t>Gold-backed plaque</t>
  </si>
  <si>
    <t>LOW (sutured)</t>
  </si>
  <si>
    <t>Beta at close range</t>
  </si>
  <si>
    <t>4 – Forceps; gold plaque provides some shielding; beta survey; OR precautions</t>
  </si>
  <si>
    <t>Y-90 Episcleral Plaque Brachytherapy</t>
  </si>
  <si>
    <t>Various hospital-compounded</t>
  </si>
  <si>
    <t>~2–4 GBq per plaque</t>
  </si>
  <si>
    <t>High at plaque; drops steeply</t>
  </si>
  <si>
    <t>Novel high-dose-rate single-session treatment for choroidal melanoma. Very short treatment time (3–4 min). Pure beta.</t>
  </si>
  <si>
    <t>PMC 10924596 2024</t>
  </si>
  <si>
    <t>Y-90 solution in disc</t>
  </si>
  <si>
    <t>Acrylic housing</t>
  </si>
  <si>
    <t>LOW (3-4 min procedure)</t>
  </si>
  <si>
    <t>Pure beta</t>
  </si>
  <si>
    <t>4 – Very short procedure; acrylic shield; beta survey; rapid decay</t>
  </si>
  <si>
    <t>Y-90 SIR-Spheres (resin microspheres)</t>
  </si>
  <si>
    <t>Medical – Liver Radioembolization</t>
  </si>
  <si>
    <t>~2 GBq per treatment dose; resin microspheres</t>
  </si>
  <si>
    <t>30,000 µSv/h at vial</t>
  </si>
  <si>
    <t>Higher embolization effect vs TheraSphere. Used for mCRC liver mets. NRC authorized user required.</t>
  </si>
  <si>
    <t>FDA PMA P990065; NRC 10 CFR 35.1000</t>
  </si>
  <si>
    <t>Cf-252 Neutron Well Logging Source</t>
  </si>
  <si>
    <t>Frontier Technology Corp. / Schlumberger</t>
  </si>
  <si>
    <t>Oil/Gas – Well Logging (Neutron Porosity)</t>
  </si>
  <si>
    <t>Cf-252</t>
  </si>
  <si>
    <t>~0.1–2 mCi (3.7–74 MBq) typical</t>
  </si>
  <si>
    <t>2.645 yr</t>
  </si>
  <si>
    <t>Spontaneous fission neutrons (avg 2.35 MeV) + gamma</t>
  </si>
  <si>
    <t>~50,000 µSv/h neutrons at 1 m (2 mCi src)</t>
  </si>
  <si>
    <t>Cf-252 emits 1012 n/s per gram via spontaneous fission. Shorter HL = lower orphan source liability vs Am-Be. Used in UAE ADCO operations.</t>
  </si>
  <si>
    <t>Weatherford 2016; frontier-cf252.com; SciDirect 2000</t>
  </si>
  <si>
    <t>Cf-252 metal/oxide</t>
  </si>
  <si>
    <t>Double sealed ISO</t>
  </si>
  <si>
    <t>Spontaneous fission neutrons + gamma</t>
  </si>
  <si>
    <t>1 – ISOLATE 30m; neutron hazard; NRC + operator; do NOT approach without TEPC</t>
  </si>
  <si>
    <t>Cf-252 PGNAA Bulk Analyzer (Coal/Cement)</t>
  </si>
  <si>
    <t>Thermo Fisher Scientific / Sabia</t>
  </si>
  <si>
    <t>Industrial – Elemental Analysis</t>
  </si>
  <si>
    <t>~50 µg–200 µg (~1.1×10^9 – 4.5×10^9 n/s)</t>
  </si>
  <si>
    <t>Spontaneous fission neutrons</t>
  </si>
  <si>
    <t>~100,000 µSv/h neutrons at source</t>
  </si>
  <si>
    <t>Prompt gamma neutron activation analysis for on-belt analysis of coal, cement, minerals. Fixed installation.</t>
  </si>
  <si>
    <t>SciDirect 2000; Thermo Fisher applications</t>
  </si>
  <si>
    <t>Cf-252 in steel capsule</t>
  </si>
  <si>
    <t>Lead + steel fixed shield</t>
  </si>
  <si>
    <t>2 – Fixed installation; do not enter during operation; neutron survey; lock-out tag-out</t>
  </si>
  <si>
    <t>Cs-137 Irradiator (JL Shepherd Mark I)</t>
  </si>
  <si>
    <t>JL Shepherd &amp; Associates</t>
  </si>
  <si>
    <t>Research/Medical – Blood/Sample Irradiation</t>
  </si>
  <si>
    <t>Up to 10,000 Ci (370,000 GBq)</t>
  </si>
  <si>
    <t>~300,000,000 µSv/h core</t>
  </si>
  <si>
    <t>Widely used in US research institutions. Multiple units cited in IAEA orphan source concerns. Cesium chloride form = highly dispersible.</t>
  </si>
  <si>
    <t>IAEA TECDOC-1346; NRC 10 CFR 36; GAO-12-092</t>
  </si>
  <si>
    <t>CsCl powder (HIGHLY DISPERSIBLE)</t>
  </si>
  <si>
    <t>Lead and steel drawers</t>
  </si>
  <si>
    <t>EXTREME (RDD risk)</t>
  </si>
  <si>
    <t>Gamma + CsCl dispersal</t>
  </si>
  <si>
    <t>1 – EVACUATE; CsCl = dispersible RDD material; NRC + law enforcement + HAZMAT</t>
  </si>
  <si>
    <t>Cs-137 Irradiator (Gammacell 1000 Elite)</t>
  </si>
  <si>
    <t>Nordion / Best Medical</t>
  </si>
  <si>
    <t>Research – Sample Irradiation</t>
  </si>
  <si>
    <t>Up to 15,000 Ci (555,000 GBq)</t>
  </si>
  <si>
    <t>Core lethal instantaneously</t>
  </si>
  <si>
    <t>CsCl form in stainless capsules. Significant security concern due to cesium chloride dispersibility. NRC ordered improved security 2012.</t>
  </si>
  <si>
    <t>NRC SRM-SECY-12-0016; IAEA NSS-11</t>
  </si>
  <si>
    <t>CsCl powder</t>
  </si>
  <si>
    <t>Lead shield</t>
  </si>
  <si>
    <t>Gamma + CsCl contamination</t>
  </si>
  <si>
    <t>1 – EVACUATE; same as Shepherd; NRC + law enforcement</t>
  </si>
  <si>
    <t>Am-241/Be Neutron Well Logging Source (OWL)</t>
  </si>
  <si>
    <t>QSA Global / Frontier</t>
  </si>
  <si>
    <t>Up to 20 Ci (740 GBq); 2.2×10^6 n/s per Ci</t>
  </si>
  <si>
    <t>Neutron (4.2 MeV avg) + gamma</t>
  </si>
  <si>
    <t>~50,000 µSv/h neutrons/gamma</t>
  </si>
  <si>
    <t>432-year half-life = persistent orphan source. Lost-in-hole scenario catastrophic. Dual-encapsulated MP35N capsule.</t>
  </si>
  <si>
    <t>QSA Global specs; web:8</t>
  </si>
  <si>
    <t>Double MP35N ISO</t>
  </si>
  <si>
    <t>CRITICAL (lost-in-hole, 432yr HL)</t>
  </si>
  <si>
    <t>Neutrons + alpha + gamma</t>
  </si>
  <si>
    <t>1 – ISOLATE 30m; neutron survey; NRC notify; 432yr orphan source</t>
  </si>
  <si>
    <t>Pu-239/Be Neutron Source (Plutonium-Beryllium)</t>
  </si>
  <si>
    <t>Various (legacy/DOE)</t>
  </si>
  <si>
    <t>Industrial/Military – Neutron Source</t>
  </si>
  <si>
    <t>Pu-239:Be</t>
  </si>
  <si>
    <t>1–100 Ci (37–3,700 GBq)</t>
  </si>
  <si>
    <t>Neutron + alpha + gamma</t>
  </si>
  <si>
    <t>~20,000 µSv/h (neutrons + alpha)</t>
  </si>
  <si>
    <t>Legacy Pu-239/Be sources in well logging and calibration. Extremely long half-life. Classified as Category 2 by IAEA.</t>
  </si>
  <si>
    <t>IAEA RS-G-1.9; CNSC REGDOC-2.12.3</t>
  </si>
  <si>
    <t>PuBe ceramic/metal</t>
  </si>
  <si>
    <t>Lead + steel housing</t>
  </si>
  <si>
    <t>Alpha + neutrons + gamma</t>
  </si>
  <si>
    <t>1 – ISOLATE 30m; neutron + alpha hazard; classified source; DOE + NRC</t>
  </si>
  <si>
    <t>Po-210 Static Eliminator (Industrial)</t>
  </si>
  <si>
    <t>NRD LLC / Amstat Industries</t>
  </si>
  <si>
    <t>Industrial – Web/Film Static Control</t>
  </si>
  <si>
    <t>20 mCi (740 MBq) per bar</t>
  </si>
  <si>
    <t>Industrial version of Am-241 ionizing bar. Alpha only; zero external hazard. Toxic if ingested (Litvinenko case demonstrated weaponized form).</t>
  </si>
  <si>
    <t>Po-210 foil on substrate</t>
  </si>
  <si>
    <t>Open bar</t>
  </si>
  <si>
    <t>Foil bonded</t>
  </si>
  <si>
    <t>LOW (external zero; ingestion HIGH)</t>
  </si>
  <si>
    <t>Alpha (zero external; ingestion lethal ~1µg lethal dose)</t>
  </si>
  <si>
    <t>4 – Do not scrape; alpha wipe; HAZMAT if dispersed; Litvinenko precedent</t>
  </si>
  <si>
    <t>Ra-226 Luminous Instrument Calibration Source</t>
  </si>
  <si>
    <t>Various museums/DOE</t>
  </si>
  <si>
    <t>Industrial/Military – Legacy Reference Source</t>
  </si>
  <si>
    <t>0.1–10 mCi (3.7–370 MBq)</t>
  </si>
  <si>
    <t>Alpha + Beta + Gamma + Radon</t>
  </si>
  <si>
    <t>~1,000–10,000 µSv/h at contact</t>
  </si>
  <si>
    <t>Legacy watch industry sources still found in collections. Paint deteriorates; Ra-226 dust. Radon gas daughter off-gassing from storage containers. NRC cleanup programs ongoing.</t>
  </si>
  <si>
    <t>NRC IE Circ 81-07; EPA 402-R-92-014</t>
  </si>
  <si>
    <t>Ra-226 paint/crystal</t>
  </si>
  <si>
    <t>None (legacy storage)</t>
  </si>
  <si>
    <t>Glass/metal (degraded)</t>
  </si>
  <si>
    <t>HIGH (legacy collections)</t>
  </si>
  <si>
    <t>Alpha dust + radon daughters</t>
  </si>
  <si>
    <t>2 – Radon survey; gloves; do not handle cracked paint; NRC cleanup program</t>
  </si>
  <si>
    <t>Cm-244 / Pu-238 Neutron Source (Curium-244)</t>
  </si>
  <si>
    <t>Research/Industrial – Neutron Source</t>
  </si>
  <si>
    <t>Cm-244</t>
  </si>
  <si>
    <t>1–10 Ci (37–370 GBq)</t>
  </si>
  <si>
    <t>18.1 yr</t>
  </si>
  <si>
    <t>Alpha + spontaneous fission neutrons</t>
  </si>
  <si>
    <t>~30,000 µSv/h (alpha + neutrons)</t>
  </si>
  <si>
    <t>Curium-244 emits neutrons via alpha + fission. Alternative to Cf-252. Shorter half-life than Pu-239/Be.</t>
  </si>
  <si>
    <t>CmO2 ceramic</t>
  </si>
  <si>
    <t>Lead + steel</t>
  </si>
  <si>
    <t>2 – ISOLATE 30m; neutron + alpha; DOE authorized use only</t>
  </si>
  <si>
    <t>Selective Internal Radiation Therapy (SIRT) Planning Dose (Tc-99m MAA)</t>
  </si>
  <si>
    <t>GE Healthcare / Lantheus</t>
  </si>
  <si>
    <t>Medical – SIRT Pre-Treatment Planning</t>
  </si>
  <si>
    <t>Tc-99m</t>
  </si>
  <si>
    <t>~4 mCi (148 MBq) MAA injection</t>
  </si>
  <si>
    <t>6 hr</t>
  </si>
  <si>
    <t>~100 µSv/h at patient surface</t>
  </si>
  <si>
    <t>Tc-99m labelled macro-aggregated albumin injected before Y-90 to map shunt fraction and predict lung dose.</t>
  </si>
  <si>
    <t>ACR SPECT/CT protocol; TheraSphere checklist</t>
  </si>
  <si>
    <t>Tc-99m labelled MAA particles</t>
  </si>
  <si>
    <t>Lead syringe shield</t>
  </si>
  <si>
    <t>Sealed syringe</t>
  </si>
  <si>
    <t>Low gamma; short half-life</t>
  </si>
  <si>
    <t>4 – Syringe shield; survey; low dose; 6-hour decay</t>
  </si>
  <si>
    <t>Ga-67 Gallium Citrate Scan Dose</t>
  </si>
  <si>
    <t>Lantheus / Mallinckrodt</t>
  </si>
  <si>
    <t>Medical – Infection/Tumor Imaging</t>
  </si>
  <si>
    <t>Ga-67</t>
  </si>
  <si>
    <t>3–10 mCi (111–370 MBq) per dose</t>
  </si>
  <si>
    <t>78.3 hr</t>
  </si>
  <si>
    <t>Gamma (93, 184, 300 keV)</t>
  </si>
  <si>
    <t>~500 µSv/h at patient surface (10 mCi)</t>
  </si>
  <si>
    <t>Nuclear medicine scan for lymphoma, infection. Multi-energy gamma; medium half-life.</t>
  </si>
  <si>
    <t>NRC 10 CFR 35.200; SNMMI procedure standards</t>
  </si>
  <si>
    <t>Ga-67 citrate solution</t>
  </si>
  <si>
    <t>Lead vial container</t>
  </si>
  <si>
    <t>Multi-energy gamma from patient</t>
  </si>
  <si>
    <t>4 – Lead container; survey patient room; patient excreta contaminated briefly</t>
  </si>
  <si>
    <t>In-111 Octreoscan (Indium Somatostatin)</t>
  </si>
  <si>
    <t>Mallinckrodt / Curium</t>
  </si>
  <si>
    <t>Medical – Neuroendocrine Tumor Imaging</t>
  </si>
  <si>
    <t>In-111</t>
  </si>
  <si>
    <t>6 mCi (222 MBq) per dose</t>
  </si>
  <si>
    <t>67.9 hr</t>
  </si>
  <si>
    <t>Gamma (171, 245 keV)</t>
  </si>
  <si>
    <t>~1,000 µSv/h at patient (6 mCi)</t>
  </si>
  <si>
    <t>Nuclear medicine imaging; partly replaced by Ga-68 DOTATATE PET. Medium half-life; patient discharge restrictions.</t>
  </si>
  <si>
    <t>NRC 10 CFR 35.200</t>
  </si>
  <si>
    <t>In-111 DTPA-octreotide</t>
  </si>
  <si>
    <t>Gamma from patient</t>
  </si>
  <si>
    <t>4 – Lead handling; survey; medium HL means longer patient monitoring</t>
  </si>
  <si>
    <t>Tl-201 Thallium Cardiac Stress Test</t>
  </si>
  <si>
    <t>Lantheus / Curium</t>
  </si>
  <si>
    <t>Medical – Cardiac Perfusion Imaging</t>
  </si>
  <si>
    <t>Tl-201</t>
  </si>
  <si>
    <t>2.5–4 mCi (93–148 MBq)</t>
  </si>
  <si>
    <t>73 hr</t>
  </si>
  <si>
    <t>X-ray (69–83 keV) + gamma (135, 167 keV)</t>
  </si>
  <si>
    <t>~500 µSv/h at patient surface</t>
  </si>
  <si>
    <t>Nuclear cardiology. Partly replaced by Tc-99m agents. Cyclotron-produced.</t>
  </si>
  <si>
    <t>NRC 10 CFR 35.200; SNMMI/ASNC procedure</t>
  </si>
  <si>
    <t>Tl-201 chloride solution</t>
  </si>
  <si>
    <t>Lead vial shield</t>
  </si>
  <si>
    <t>X-ray + gamma from patient</t>
  </si>
  <si>
    <t>4 – Lead shield; survey patient; excreta monitoring 24h</t>
  </si>
  <si>
    <t>Gd-153 Bone Densitometry Source (DPX-L)</t>
  </si>
  <si>
    <t>Lunar Corporation</t>
  </si>
  <si>
    <t>Medical – Dual-Photon Bone Densitometry</t>
  </si>
  <si>
    <t>Gamma (40/100 keV dual energy)</t>
  </si>
  <si>
    <t>~0.8 mrem/h per mCi at 1 ft</t>
  </si>
  <si>
    <t>DEXA predecessor. Used pre-1990s. Dual-photon technique; Gd-153 decay produces two usable photon energies.</t>
  </si>
  <si>
    <t>RSNA Radiology 1985; NRC 10 CFR 35</t>
  </si>
  <si>
    <t>Gd-153 ceramic</t>
  </si>
  <si>
    <t>Lead housing + collimator</t>
  </si>
  <si>
    <t>4 – Very low dose; survey; &lt;1mm Pb stops beam; NRC 10 CFR 35</t>
  </si>
  <si>
    <t>Ir-192 HDR Brachytherapy Source (MicroSelectron)</t>
  </si>
  <si>
    <t>Elekta / Nucletron</t>
  </si>
  <si>
    <t>10 Ci (370 GBq)</t>
  </si>
  <si>
    <t>Gamma (300–600 keV)</t>
  </si>
  <si>
    <t>~48,000 µSv/h bare source</t>
  </si>
  <si>
    <t>Most common HDR source globally. Source wire 0.9mm × 3.5mm. Remote afterloading. Retraction failure = patient overexposure.</t>
  </si>
  <si>
    <t>NRC 10 CFR 35.1000; IAEA SSG-13; TG-43</t>
  </si>
  <si>
    <t>Ir-192 wire capsule</t>
  </si>
  <si>
    <t>Lead shield HDR unit</t>
  </si>
  <si>
    <t>HIGH (retraction failure)</t>
  </si>
  <si>
    <t>1 – Retraction failure = patient left with source; EVACUATE room; RSO; long-handle retrieval</t>
  </si>
  <si>
    <t>Co-57 Flood Source (Nuclear Medicine Camera QC)</t>
  </si>
  <si>
    <t>Eckert &amp; Ziegler / Nordion</t>
  </si>
  <si>
    <t>Medical – Gamma Camera Quality Control</t>
  </si>
  <si>
    <t>Co-57</t>
  </si>
  <si>
    <t>5–30 mCi (185–1,110 MBq)</t>
  </si>
  <si>
    <t>271.8 days</t>
  </si>
  <si>
    <t>Gamma (122 keV)</t>
  </si>
  <si>
    <t>~5 µSv/h at 1 m (30 mCi)</t>
  </si>
  <si>
    <t>Used to flood gamma camera detectors for uniformity testing. Low-energy gamma; thin lead shielding sufficient.</t>
  </si>
  <si>
    <t>NRC 10 CFR 35; AAPM TG-177</t>
  </si>
  <si>
    <t>Co-57 in disc</t>
  </si>
  <si>
    <t>Lead sleeve</t>
  </si>
  <si>
    <t>5 – Handle with lead sleeve; gamma survey; NRC 10 CFR 35</t>
  </si>
  <si>
    <t>Ge-68/Ga-68 PET Phantom Source (QA)</t>
  </si>
  <si>
    <t>Medical – PET Scanner Quality Control</t>
  </si>
  <si>
    <t>Ge-68 / Ga-68</t>
  </si>
  <si>
    <t>0.1–1 mCi (3.7–37 MBq)</t>
  </si>
  <si>
    <t>270.9 days (Ge-68)</t>
  </si>
  <si>
    <t>Positron → 511 keV gamma pairs</t>
  </si>
  <si>
    <t>~500 µSv/h at close contact</t>
  </si>
  <si>
    <t>Used to calibrate/check PET scanners. Long-lived Ge-68 parent. Annihilation pairs require PET-grade shielding.</t>
  </si>
  <si>
    <t>NRC 10 CFR 35.200; SNMMI QC protocols</t>
  </si>
  <si>
    <t>Ge-68 solution sealed</t>
  </si>
  <si>
    <t>Sealed phantom</t>
  </si>
  <si>
    <t>511 keV annihilation gamma pairs</t>
  </si>
  <si>
    <t>4 – PET-grade shielding; survey; Ge-68 parent longevity means persistent source</t>
  </si>
  <si>
    <t>FIRST RESPONDER QUICK REFERENCE — Sorted by Hazard Level (Most Dangerous First)</t>
  </si>
  <si>
    <t>ACTION CODES:  1=EVACUATE/ISOLATE (lethal)  |  2=ISOLATE &amp; SURVEY (severe injury)  |  3=CORDON &amp; NOTIFY  |  4=SECURE &amp; LOG  |  5=STANDARD PRECAUTION</t>
  </si>
  <si>
    <t>Sector</t>
  </si>
  <si>
    <t>Isotope(s)</t>
  </si>
  <si>
    <t>Dose Rate @ 1m</t>
  </si>
  <si>
    <t>Action Code</t>
  </si>
  <si>
    <t>Shielding Needed</t>
  </si>
  <si>
    <t>Contamination Risk</t>
  </si>
  <si>
    <t>Immediate Actions</t>
  </si>
  <si>
    <t>Regulatory Contact</t>
  </si>
  <si>
    <t>CODE 1</t>
  </si>
  <si>
    <t>Acrylic first, then lead</t>
  </si>
  <si>
    <t>Lead (6mm HVL) + distance</t>
  </si>
  <si>
    <t>Clothing/gloves (no penetration)</t>
  </si>
  <si>
    <t>Lead (12mm HVL) + distance</t>
  </si>
  <si>
    <t>CODE 2</t>
  </si>
  <si>
    <t>Lead/distance</t>
  </si>
  <si>
    <t>Polyethylene + lead + distance</t>
  </si>
  <si>
    <t>Acrylic/plastic + distance</t>
  </si>
  <si>
    <t>Lead + polyethylene composite</t>
  </si>
  <si>
    <t>Clothing; lead for gamma component</t>
  </si>
  <si>
    <t>CODE 3</t>
  </si>
  <si>
    <t>Acrylic syringe shield + lead for vial</t>
  </si>
  <si>
    <t>Acrylic/plastic; NO lead (increases bremsstrahlung)</t>
  </si>
  <si>
    <t>CODE 4</t>
  </si>
  <si>
    <t>CODE 5</t>
  </si>
  <si>
    <t>ISOTOPE TECHNICAL REFERENCE — Nuclear Physics, Shielding HVL, Biological Hazard Pathways</t>
  </si>
  <si>
    <t>Isotope</t>
  </si>
  <si>
    <t>Symbol</t>
  </si>
  <si>
    <t>Z (Atomic No.)</t>
  </si>
  <si>
    <t>A (Mass No.)</t>
  </si>
  <si>
    <t>Decay Mode</t>
  </si>
  <si>
    <t>Emax/Ephoton (keV)</t>
  </si>
  <si>
    <t>Specific Activity (TBq/g)</t>
  </si>
  <si>
    <t>Physical Form (typical)</t>
  </si>
  <si>
    <t>Shielding HVL (mm Pb)</t>
  </si>
  <si>
    <t>HVL Water/PE (cm)</t>
  </si>
  <si>
    <t>Biological Hazard Pathway</t>
  </si>
  <si>
    <t>Critical Organ</t>
  </si>
  <si>
    <t>IAEA Category (typical devices)</t>
  </si>
  <si>
    <t>Key Devices</t>
  </si>
  <si>
    <t>Sources / References</t>
  </si>
  <si>
    <t>Iridium-192</t>
  </si>
  <si>
    <t>77</t>
  </si>
  <si>
    <t>192</t>
  </si>
  <si>
    <t>73.8 days</t>
  </si>
  <si>
    <t>β⁻ + γ</t>
  </si>
  <si>
    <t>295–612 keV γ (avg 370 keV)</t>
  </si>
  <si>
    <t>341 TBq/g</t>
  </si>
  <si>
    <t>Metal wire or pellet (0.9mm)</t>
  </si>
  <si>
    <t>4.8</t>
  </si>
  <si>
    <t>12</t>
  </si>
  <si>
    <t>External gamma; beta if ingested</t>
  </si>
  <si>
    <t>Whole body (gamma); GI (ingestion)</t>
  </si>
  <si>
    <t>1–2</t>
  </si>
  <si>
    <t>Ir-192 HDR afterloader, pipeline crawler, gamma cameras</t>
  </si>
  <si>
    <t>IAEA RS-G-1.9; QSA specs; TG-43</t>
  </si>
  <si>
    <t>Cobalt-60</t>
  </si>
  <si>
    <t>27</t>
  </si>
  <si>
    <t>60</t>
  </si>
  <si>
    <t>5.27 years</t>
  </si>
  <si>
    <t>1,173 + 1,332 keV γ (both)</t>
  </si>
  <si>
    <t>41.9 TBq/g</t>
  </si>
  <si>
    <t>Metal pellet/wire in stainless capsule</t>
  </si>
  <si>
    <t>11.0</t>
  </si>
  <si>
    <t>30</t>
  </si>
  <si>
    <t>External gamma (very penetrating); ingestion secondary</t>
  </si>
  <si>
    <t>Whole body / gonads</t>
  </si>
  <si>
    <t>Gamma Knife, teletherapy, irradiators, RTG-equivalent</t>
  </si>
  <si>
    <t>IAEA; NCRP 151</t>
  </si>
  <si>
    <t>Caesium-137</t>
  </si>
  <si>
    <t>55</t>
  </si>
  <si>
    <t>137</t>
  </si>
  <si>
    <t>30.17 years</t>
  </si>
  <si>
    <t>661.7 keV γ (Ba-137m)</t>
  </si>
  <si>
    <t>3.22 TBq/g</t>
  </si>
  <si>
    <t>CsCl powder (DISPERSIBLE) or ceramic bead</t>
  </si>
  <si>
    <t>8.4</t>
  </si>
  <si>
    <t>22</t>
  </si>
  <si>
    <t>External gamma; ingestion (mimics potassium, distributed to muscle)</t>
  </si>
  <si>
    <t>Whole body / muscle</t>
  </si>
  <si>
    <t>1–3</t>
  </si>
  <si>
    <t>Blood irradiators, level gauges, well logging tools, calibration sources</t>
  </si>
  <si>
    <t>IAEA; NRC 10 CFR 36; GAO-12-092</t>
  </si>
  <si>
    <t>Americium-241</t>
  </si>
  <si>
    <t>95</t>
  </si>
  <si>
    <t>241</t>
  </si>
  <si>
    <t>432.2 years</t>
  </si>
  <si>
    <t>α + γ</t>
  </si>
  <si>
    <t>59.5 keV γ; 5.49 MeV α</t>
  </si>
  <si>
    <t>126.9 GBq/g</t>
  </si>
  <si>
    <t>AmO2 ceramic powder in stainless capsule</t>
  </si>
  <si>
    <t>0.02 (α stopped by skin; γ minimal Pb)</t>
  </si>
  <si>
    <t>N/A (alpha)</t>
  </si>
  <si>
    <t>Alpha inhalation → lung carcinogen; γ external minimal</t>
  </si>
  <si>
    <t>Bone / lung (inhalation)</t>
  </si>
  <si>
    <t>2–5</t>
  </si>
  <si>
    <t>Smoke detectors, Am-Be logging, XRF sources, Am-241:Be</t>
  </si>
  <si>
    <t>IAEA; NCRP 78</t>
  </si>
  <si>
    <t>Strontium-90</t>
  </si>
  <si>
    <t>38</t>
  </si>
  <si>
    <t>90</t>
  </si>
  <si>
    <t>28.8 years</t>
  </si>
  <si>
    <t>β⁻ (+ Y-90 daughter)</t>
  </si>
  <si>
    <t>546 keV β (Sr); 2,274 keV β (Y-90)</t>
  </si>
  <si>
    <t>5.18 TBq/g</t>
  </si>
  <si>
    <t>Ceramic/glass titanate</t>
  </si>
  <si>
    <t>0 (pure beta; no Pb needed; acrylic for bremsstrahlung)</t>
  </si>
  <si>
    <t>2 (bremsstrahlung)</t>
  </si>
  <si>
    <t>Beta skin/eye burns; bremsstrahlung X-ray; bone seeker (mimics calcium) if ingested</t>
  </si>
  <si>
    <t>Bone marrow / skin</t>
  </si>
  <si>
    <t>Beta-M RTG, ophthalmic applicators, thickness gauges, radiac check sources</t>
  </si>
  <si>
    <t>IAEA; NCRP 90</t>
  </si>
  <si>
    <t>Selenium-75</t>
  </si>
  <si>
    <t>34</t>
  </si>
  <si>
    <t>75</t>
  </si>
  <si>
    <t>119.8 days</t>
  </si>
  <si>
    <t>EC + γ</t>
  </si>
  <si>
    <t>136–401 keV γ (avg 210 keV)</t>
  </si>
  <si>
    <t>1,490 TBq/g</t>
  </si>
  <si>
    <t>Metal pellet compressed</t>
  </si>
  <si>
    <t>2.4</t>
  </si>
  <si>
    <t>8</t>
  </si>
  <si>
    <t>External gamma; ingestion minimal</t>
  </si>
  <si>
    <t>Whole body</t>
  </si>
  <si>
    <t>Se-75 pipeline gamma cameras</t>
  </si>
  <si>
    <t>IAEA; QSA Global datasheet</t>
  </si>
  <si>
    <t>Ytterbium-169</t>
  </si>
  <si>
    <t>70</t>
  </si>
  <si>
    <t>169</t>
  </si>
  <si>
    <t>32.0 days</t>
  </si>
  <si>
    <t>63–308 keV γ (avg 130 keV)</t>
  </si>
  <si>
    <t>~4,700 TBq/g</t>
  </si>
  <si>
    <t>Ceramic/oxide pellet</t>
  </si>
  <si>
    <t>1.3</t>
  </si>
  <si>
    <t>External gamma (low energy; good collimation)</t>
  </si>
  <si>
    <t>Whole body (minimal)</t>
  </si>
  <si>
    <t>Yb-169 thin-wall NDT cameras</t>
  </si>
  <si>
    <t>OSTI 162887; IAEA TECDOC</t>
  </si>
  <si>
    <t>Thulium-170</t>
  </si>
  <si>
    <t>69</t>
  </si>
  <si>
    <t>170</t>
  </si>
  <si>
    <t>128.6 days</t>
  </si>
  <si>
    <t>968 keV β (max); 84 keV γ (3%)</t>
  </si>
  <si>
    <t>~1,500 TBq/g</t>
  </si>
  <si>
    <t>Ceramic pellet</t>
  </si>
  <si>
    <t>0 (primarily beta); 0.5 (γ component)</t>
  </si>
  <si>
    <t>Beta burns close contact; bremsstrahlung X-ray</t>
  </si>
  <si>
    <t>Skin / whole body</t>
  </si>
  <si>
    <t>Tm-170 thin-wall NDT cameras</t>
  </si>
  <si>
    <t>TWI; IAEA TECDOC</t>
  </si>
  <si>
    <t>Krypton-85</t>
  </si>
  <si>
    <t>Kr-85</t>
  </si>
  <si>
    <t>36</t>
  </si>
  <si>
    <t>85</t>
  </si>
  <si>
    <t>10.76 years</t>
  </si>
  <si>
    <t>687 keV β; 514 keV γ (0.4%)</t>
  </si>
  <si>
    <t>~14.9 TBq/g</t>
  </si>
  <si>
    <t>Gas in sealed housing</t>
  </si>
  <si>
    <t>0 (gas; beta stopped by casing)</t>
  </si>
  <si>
    <t>N/A</t>
  </si>
  <si>
    <t>External beta minimal (gas confined); inhalation if released</t>
  </si>
  <si>
    <t>Lungs (gas)</t>
  </si>
  <si>
    <t>Transmission thickness gauges</t>
  </si>
  <si>
    <t>NRC 10 CFR 30; UNSCEAR</t>
  </si>
  <si>
    <t>Polonium-210</t>
  </si>
  <si>
    <t>84</t>
  </si>
  <si>
    <t>210</t>
  </si>
  <si>
    <t>138.4 days</t>
  </si>
  <si>
    <t>α</t>
  </si>
  <si>
    <t>5,304 keV α (100%)</t>
  </si>
  <si>
    <t>166,400 GBq/g</t>
  </si>
  <si>
    <t>Metal film on substrate</t>
  </si>
  <si>
    <t>0 (alpha stopped by sheet paper)</t>
  </si>
  <si>
    <t>Alpha inhalation or ingestion; systemic toxin; LD50 ~1µg; Litvinenko case</t>
  </si>
  <si>
    <t>Bone marrow / liver / kidneys</t>
  </si>
  <si>
    <t>Static eliminators, historical aircraft instruments</t>
  </si>
  <si>
    <t>IAEA; NCRP 141; Litvinenko Inquiry 2016</t>
  </si>
  <si>
    <t>Yttrium-90</t>
  </si>
  <si>
    <t>39</t>
  </si>
  <si>
    <t>64.05 hours</t>
  </si>
  <si>
    <t>β⁻ (pure)</t>
  </si>
  <si>
    <t>2,284 keV β (max); no significant γ</t>
  </si>
  <si>
    <t>~204,000 TBq/g</t>
  </si>
  <si>
    <t>Glass/resin microspheres; solution</t>
  </si>
  <si>
    <t>0 (pure beta; acrylic for bremsstrahlung)</t>
  </si>
  <si>
    <t>1 (bremsstrahlung)</t>
  </si>
  <si>
    <t>Beta GI burns; microsphere embolization</t>
  </si>
  <si>
    <t>Liver / GI tract</t>
  </si>
  <si>
    <t>TheraSphere, SIR-Spheres, ophthalmic applicators</t>
  </si>
  <si>
    <t>FDA PMA; NRC 10 CFR 35.1000</t>
  </si>
  <si>
    <t>Lutetium-177</t>
  </si>
  <si>
    <t>71</t>
  </si>
  <si>
    <t>177</t>
  </si>
  <si>
    <t>6.65 days</t>
  </si>
  <si>
    <t>498 keV β (max); 113 + 208 keV γ</t>
  </si>
  <si>
    <t>~4,072 TBq/g</t>
  </si>
  <si>
    <t>Solution in vial</t>
  </si>
  <si>
    <t>2.5 (gamma component)</t>
  </si>
  <si>
    <t>Beta therapy; gamma imaging; excreta contamination</t>
  </si>
  <si>
    <t>Neuroendocrine tumors; kidneys</t>
  </si>
  <si>
    <t>Lutathera (DOTATATE), Pluvicto (PSMA)</t>
  </si>
  <si>
    <t>FDA 2018/2022; NRC 10 CFR 35.1000</t>
  </si>
  <si>
    <t>Radium-226</t>
  </si>
  <si>
    <t>88</t>
  </si>
  <si>
    <t>226</t>
  </si>
  <si>
    <t>1,600 years</t>
  </si>
  <si>
    <t>α + β + γ + radon-222 daughter</t>
  </si>
  <si>
    <t>Various (186 keV γ; multiple daughters)</t>
  </si>
  <si>
    <t>37 GBq/g</t>
  </si>
  <si>
    <t>Powder/salt (historically RaCl2 in Pt needle)</t>
  </si>
  <si>
    <t>5.0 (gamma daughters)</t>
  </si>
  <si>
    <t>15</t>
  </si>
  <si>
    <t>Alpha, beta, gamma; radon gas inhalation; bone seeker mimicking calcium</t>
  </si>
  <si>
    <t>Bone / lungs (radon daughters)</t>
  </si>
  <si>
    <t>2–3</t>
  </si>
  <si>
    <t>Legacy brachytherapy needles, vintage luminous dials, cockpit instruments</t>
  </si>
  <si>
    <t>IAEA TECDOC-1293; EPA 402-R-92-014</t>
  </si>
  <si>
    <t>Californium-252</t>
  </si>
  <si>
    <t>98</t>
  </si>
  <si>
    <t>252</t>
  </si>
  <si>
    <t>2.645 years</t>
  </si>
  <si>
    <t>α + SF (spontaneous fission)</t>
  </si>
  <si>
    <t>2.35 MeV avg neutron; 6.1 MeV α</t>
  </si>
  <si>
    <t>1,956 TBq/g</t>
  </si>
  <si>
    <t>Metal/oxide in steel capsule</t>
  </si>
  <si>
    <t>0 (alpha); 6–8 cm polyethylene (neutron)</t>
  </si>
  <si>
    <t>6 cm PE</t>
  </si>
  <si>
    <t>Spontaneous fission neutrons → bone marrow suppression; alpha internal hazard</t>
  </si>
  <si>
    <t>Bone marrow / lungs</t>
  </si>
  <si>
    <t>Cf-252 well logging sources, PGNAA analyzers, neutron brachytherapy</t>
  </si>
  <si>
    <t>Frontier Tech; SciDirect 2000; IAEA</t>
  </si>
  <si>
    <t>Plutonium-238</t>
  </si>
  <si>
    <t>94</t>
  </si>
  <si>
    <t>238</t>
  </si>
  <si>
    <t>87.74 years</t>
  </si>
  <si>
    <t>α (99.8%)</t>
  </si>
  <si>
    <t>5,499 keV α; decay heat 0.56 W/g</t>
  </si>
  <si>
    <t>634 GBq/g</t>
  </si>
  <si>
    <t>PuO2 ceramic pellets (GPHS-RTG); metal (pacemaker)</t>
  </si>
  <si>
    <t>0 (alpha stopped by mm material); lead for X-ray fluorescence</t>
  </si>
  <si>
    <t>Alpha inhalation = highly radiotoxic lung carcinogen; bone/liver seeker</t>
  </si>
  <si>
    <t>Bone / lungs / liver</t>
  </si>
  <si>
    <t>1 (RTG)</t>
  </si>
  <si>
    <t>NASA GPHS-RTG, Pu-238 pacemakers, SNAP-9A</t>
  </si>
  <si>
    <t>NASA-STD-8719.12; NRC 10 CFR 71; ICRP 72</t>
  </si>
  <si>
    <t>Plutonium-239</t>
  </si>
  <si>
    <t>239</t>
  </si>
  <si>
    <t>24,110 years</t>
  </si>
  <si>
    <t>5,157 keV α; 414 keV γ (low)</t>
  </si>
  <si>
    <t>2.3 GBq/g</t>
  </si>
  <si>
    <t>Ceramic oxide; metal; alloy in weapon cores</t>
  </si>
  <si>
    <t>0 (alpha); 1.5 mm Pb (gamma)</t>
  </si>
  <si>
    <t>Alpha inhalation/ingestion = major carcinogen; fissile → criticality hazard</t>
  </si>
  <si>
    <t>Bone / lungs</t>
  </si>
  <si>
    <t>PuBe neutron sources, AN/UDM-6 radiac calibrator, weapons (classified)</t>
  </si>
  <si>
    <t>IAEA; DOE STD-1024; NCRP 141</t>
  </si>
  <si>
    <t>Uranium-238 (Depleted)</t>
  </si>
  <si>
    <t>U-238/DU</t>
  </si>
  <si>
    <t>92</t>
  </si>
  <si>
    <t>4.47 billion years</t>
  </si>
  <si>
    <t>α + weak β; decay chain</t>
  </si>
  <si>
    <t>4,270 keV α; weak gamma (daughters)</t>
  </si>
  <si>
    <t>12.4 kBq/g</t>
  </si>
  <si>
    <t>Metal (dense, 19.1 g/cm³); pyrophoric on impact</t>
  </si>
  <si>
    <t>0 (alpha externally negligible)</t>
  </si>
  <si>
    <t>Alpha inhalation of oxide aerosol post-impact; heavy metal toxicity (kidney); external gamma negligible</t>
  </si>
  <si>
    <t>Kidneys / bone</t>
  </si>
  <si>
    <t>N/A (DU exempt)</t>
  </si>
  <si>
    <t>DU penetrators, aircraft counterweights, M1 Abrams armor</t>
  </si>
  <si>
    <t>NRC 10 CFR 40; FAA AC 20-123; UNEP 2001</t>
  </si>
  <si>
    <t>Thorium-232</t>
  </si>
  <si>
    <t>Th-232</t>
  </si>
  <si>
    <t>232</t>
  </si>
  <si>
    <t>14.05 billion years</t>
  </si>
  <si>
    <t>α + β (daughters)</t>
  </si>
  <si>
    <t>4,082 keV α (Th-232)</t>
  </si>
  <si>
    <t>4.07 kBq/g</t>
  </si>
  <si>
    <t>Metal oxide (ThO2) in electrode/mantle matrix</t>
  </si>
  <si>
    <t>0 (alpha); minor gamma daughters</t>
  </si>
  <si>
    <t>Alpha inhalation of ThO2 dust (grinding); internal bone/lung deposition; radon daughter emanation</t>
  </si>
  <si>
    <t>5 (typical consumer)</t>
  </si>
  <si>
    <t>TIG electrodes, gas lantern mantles, vintage alloys</t>
  </si>
  <si>
    <t>TWI; PubMed 6706595; EPA</t>
  </si>
  <si>
    <t>Hydrogen-3 (Tritium)</t>
  </si>
  <si>
    <t>H-3</t>
  </si>
  <si>
    <t>12.32 years</t>
  </si>
  <si>
    <t>β⁻ (pure, very low energy)</t>
  </si>
  <si>
    <t>18.6 keV β (max)</t>
  </si>
  <si>
    <t>~1.07 PBq/g</t>
  </si>
  <si>
    <t>Tritium gas in sealed glass tube</t>
  </si>
  <si>
    <t>0 (beta cannot penetrate glass)</t>
  </si>
  <si>
    <t>Inhalation/skin absorption if tube broken; organically bound tritium stays 40 days</t>
  </si>
  <si>
    <t>Whole body (uniform distribution)</t>
  </si>
  <si>
    <t>Exit signs, radioluminescent dials, fusion research</t>
  </si>
  <si>
    <t>NRC 10 CFR 30.15; UNSCEAR</t>
  </si>
  <si>
    <t>Nickel-63</t>
  </si>
  <si>
    <t>28</t>
  </si>
  <si>
    <t>63</t>
  </si>
  <si>
    <t>100.1 years</t>
  </si>
  <si>
    <t>β⁻ (low energy)</t>
  </si>
  <si>
    <t>66.9 keV β (max)</t>
  </si>
  <si>
    <t>~2.14 TBq/g</t>
  </si>
  <si>
    <t>Metal foil; semiconductor</t>
  </si>
  <si>
    <t>0 (contained by housing)</t>
  </si>
  <si>
    <t>Very low external hazard; ingestion/inhalation if foil damaged</t>
  </si>
  <si>
    <t>GI tract (minimal)</t>
  </si>
  <si>
    <t>GC-ECD detectors, betavoltaic batteries</t>
  </si>
  <si>
    <t>NRC 10 CFR 30; ACS 2025</t>
  </si>
  <si>
    <t>Gadolinium-153</t>
  </si>
  <si>
    <t>64</t>
  </si>
  <si>
    <t>153</t>
  </si>
  <si>
    <t>240.4 days</t>
  </si>
  <si>
    <t>40 keV + 100 keV γ (dual-photon)</t>
  </si>
  <si>
    <t>~1,940 TBq/g</t>
  </si>
  <si>
    <t>Ceramic bead in stainless capsule</t>
  </si>
  <si>
    <t>0.2</t>
  </si>
  <si>
    <t>External gamma (low energy; easy to shield)</t>
  </si>
  <si>
    <t>Minimal</t>
  </si>
  <si>
    <t>Legacy bone densitometers (DEXA)</t>
  </si>
  <si>
    <t>Lunar DPX specs; NRC 10 CFR 35</t>
  </si>
  <si>
    <t>Fluorine-18</t>
  </si>
  <si>
    <t>9</t>
  </si>
  <si>
    <t>18</t>
  </si>
  <si>
    <t>109.8 minutes</t>
  </si>
  <si>
    <t>β⁺ → 511 keV annihilation γ pairs</t>
  </si>
  <si>
    <t>511 keV × 2 annihilation photons</t>
  </si>
  <si>
    <t>~63,000 TBq/g at production</t>
  </si>
  <si>
    <t>Solution (FDG in saline)</t>
  </si>
  <si>
    <t>10 (511 keV pairs need lead)</t>
  </si>
  <si>
    <t>25</t>
  </si>
  <si>
    <t>External annihilation gamma; very short HL minimizes long-term exposure</t>
  </si>
  <si>
    <t>Whole body (FDG uptake)</t>
  </si>
  <si>
    <t>PET scanner FDG doses</t>
  </si>
  <si>
    <t>Cyclotron; NRC 10 CFR 35.200</t>
  </si>
  <si>
    <t>Technetium-99m</t>
  </si>
  <si>
    <t>43</t>
  </si>
  <si>
    <t>99</t>
  </si>
  <si>
    <t>6.01 hours</t>
  </si>
  <si>
    <t>IT (isomeric transition) → Tc-99 → γ</t>
  </si>
  <si>
    <t>140.5 keV γ</t>
  </si>
  <si>
    <t>193,000 TBq/g (theoretical)</t>
  </si>
  <si>
    <t>Solution in saline (eluate)</t>
  </si>
  <si>
    <t>2.5 mm Pb</t>
  </si>
  <si>
    <t>6</t>
  </si>
  <si>
    <t>External gamma; short HL; nuclear medicine standard</t>
  </si>
  <si>
    <t>Whole body (organ-specific uptake)</t>
  </si>
  <si>
    <t>3–4</t>
  </si>
  <si>
    <t>Tc-99m generator (Mo-99 parent), SPECT scans</t>
  </si>
  <si>
    <t>Indium-111</t>
  </si>
  <si>
    <t>49</t>
  </si>
  <si>
    <t>111</t>
  </si>
  <si>
    <t>67.9 hours</t>
  </si>
  <si>
    <t>171 + 245 keV γ (dual)</t>
  </si>
  <si>
    <t>~1,560 TBq/g</t>
  </si>
  <si>
    <t>2.8 mm Pb</t>
  </si>
  <si>
    <t>7</t>
  </si>
  <si>
    <t>External gamma; medium HL means patient is source &gt;2 days</t>
  </si>
  <si>
    <t>In-111 Octreoscan, white blood cell scan</t>
  </si>
  <si>
    <t>NRC 10 CFR 35.200; SNMMI</t>
  </si>
  <si>
    <t>Thallium-201</t>
  </si>
  <si>
    <t>81</t>
  </si>
  <si>
    <t>201</t>
  </si>
  <si>
    <t>72.9 hours</t>
  </si>
  <si>
    <t>69–83 keV X-ray; 135, 167 keV γ</t>
  </si>
  <si>
    <t>~4,590 TBq/g</t>
  </si>
  <si>
    <t>2 mm Pb</t>
  </si>
  <si>
    <t>External X-ray + gamma; patient source for 3 days</t>
  </si>
  <si>
    <t>Myocardium (cardiac imaging)</t>
  </si>
  <si>
    <t>Cardiac perfusion imaging</t>
  </si>
  <si>
    <t>NRC 10 CFR 35.200; ASNC</t>
  </si>
  <si>
    <t>Gallium-67</t>
  </si>
  <si>
    <t>31</t>
  </si>
  <si>
    <t>67</t>
  </si>
  <si>
    <t>78.26 hours</t>
  </si>
  <si>
    <t>93, 184, 296, 388 keV γ</t>
  </si>
  <si>
    <t>~1,380 TBq/g</t>
  </si>
  <si>
    <t>Citrate solution</t>
  </si>
  <si>
    <t>External gamma; medium HL; tumor/infection accumulation</t>
  </si>
  <si>
    <t>Bone / infection sites</t>
  </si>
  <si>
    <t>Ga-67 gallium scan (lymphoma, infection)</t>
  </si>
  <si>
    <t>Ruthenium-106</t>
  </si>
  <si>
    <t>Ru-106</t>
  </si>
  <si>
    <t>44</t>
  </si>
  <si>
    <t>106</t>
  </si>
  <si>
    <t>1.023 years</t>
  </si>
  <si>
    <t>β⁻ (Rh-106 daughter: 3.54 MeV β)</t>
  </si>
  <si>
    <t>3,540 keV β (Rh-106); no significant γ</t>
  </si>
  <si>
    <t>~12,100 TBq/g</t>
  </si>
  <si>
    <t>RuO2 in gold-backed plaque</t>
  </si>
  <si>
    <t>0 (pure beta; gold backing shields)</t>
  </si>
  <si>
    <t>Beta therapy at implant site; minimal dose to others</t>
  </si>
  <si>
    <t>Uveal melanoma / eye</t>
  </si>
  <si>
    <t>Ru-106 eye plaques (BEBIG CCA type)</t>
  </si>
  <si>
    <t>PMC 7392724; Karger 2014</t>
  </si>
  <si>
    <t>Palladium-103</t>
  </si>
  <si>
    <t>46</t>
  </si>
  <si>
    <t>103</t>
  </si>
  <si>
    <t>16.99 days</t>
  </si>
  <si>
    <t>EC + X-ray</t>
  </si>
  <si>
    <t>20–23 keV X-ray (silver characteristic)</t>
  </si>
  <si>
    <t>~48,000 TBq/g</t>
  </si>
  <si>
    <t>Graphite pellet in Ti capsule</t>
  </si>
  <si>
    <t>0.1 mm Pb</t>
  </si>
  <si>
    <t>Very low energy; minimal external dose; cremation precaution</t>
  </si>
  <si>
    <t>Prostate</t>
  </si>
  <si>
    <t>Pd-103 TheraSeed brachytherapy</t>
  </si>
  <si>
    <t>AAPM TG-43; NRC 10 CFR 35.400</t>
  </si>
  <si>
    <t>Iodine-125</t>
  </si>
  <si>
    <t>53</t>
  </si>
  <si>
    <t>125</t>
  </si>
  <si>
    <t>59.41 days</t>
  </si>
  <si>
    <t>27–35 keV γ; 35.5 keV</t>
  </si>
  <si>
    <t>~73,000 TBq/g</t>
  </si>
  <si>
    <t>Resin core in Ti capsule (seed)</t>
  </si>
  <si>
    <t>0.02 mm Pb</t>
  </si>
  <si>
    <t>Very low energy; minimal external; thyroid uptake if organified (workers)</t>
  </si>
  <si>
    <t>Thyroid (workers); prostate (patients)</t>
  </si>
  <si>
    <t>I-125 prostate seed brachytherapy</t>
  </si>
  <si>
    <t>Iodine-131</t>
  </si>
  <si>
    <t>131</t>
  </si>
  <si>
    <t>606 keV β; 364 keV γ</t>
  </si>
  <si>
    <t>3.5 mm Pb</t>
  </si>
  <si>
    <t>Beta GI; gamma external; thyroid avid — 80× concentration in thyroid</t>
  </si>
  <si>
    <t>Thyroid</t>
  </si>
  <si>
    <t>I-131 thyroid therapy, diagnostic scans</t>
  </si>
  <si>
    <t>Radium-223</t>
  </si>
  <si>
    <t>223</t>
  </si>
  <si>
    <t>α + daughters</t>
  </si>
  <si>
    <t>5,979 keV α; 82–154 keV γ</t>
  </si>
  <si>
    <t>~1,870 TBq/g</t>
  </si>
  <si>
    <t>Ra-223 dichloride solution</t>
  </si>
  <si>
    <t>1 mm Pb (gamma daughters)</t>
  </si>
  <si>
    <t>High-LET alpha therapy; bone seeker; stool contamination 2 weeks</t>
  </si>
  <si>
    <t>Bone / GI tract</t>
  </si>
  <si>
    <t>Ra-223 Xofigo (bone mets)</t>
  </si>
  <si>
    <t>Bayer PI; FDA 2013; NRC 10 CFR 35.1000</t>
  </si>
  <si>
    <t>ORPHAN SOURCE RISK REGISTER — IAEA GOV/2003/27 Framework | Priority Scores 0–5</t>
  </si>
  <si>
    <t>Device / Source</t>
  </si>
  <si>
    <t>Activity</t>
  </si>
  <si>
    <t>Abandonment Risk (0-5)</t>
  </si>
  <si>
    <t>Theft Risk (0-5)</t>
  </si>
  <si>
    <t>Radiological Consequence (0-5)</t>
  </si>
  <si>
    <t>TOTAL RISK SCORE (0-15)</t>
  </si>
  <si>
    <t>Historical Incidents</t>
  </si>
  <si>
    <t>Typical Scenario</t>
  </si>
  <si>
    <t>Country / Region Risk</t>
  </si>
  <si>
    <t>Recovery Priority</t>
  </si>
  <si>
    <t>Regulatory Gaps / Notes</t>
  </si>
  <si>
    <t>Key IAEA Reference</t>
  </si>
  <si>
    <t>Cs-137 Blood Irradiator (JL Shepherd)</t>
  </si>
  <si>
    <t>Up to 10,000 Ci</t>
  </si>
  <si>
    <t>Multiple US hospitals decommissioned units stored; GAO 2012 report flagged CsCl dispersibility</t>
  </si>
  <si>
    <t>Hospital closure; budget cuts; no disposal route</t>
  </si>
  <si>
    <t>USA, Latin America, Eastern Europe</t>
  </si>
  <si>
    <t>CsCl powder form = high-priority RDD material; NRC ordered enhanced security 2012</t>
  </si>
  <si>
    <t>IAEA NSS-11; GAO-12-092</t>
  </si>
  <si>
    <t>Co-60 Teletherapy Unit (Theratron)</t>
  </si>
  <si>
    <t>5,000–10,000 Ci</t>
  </si>
  <si>
    <t>Ciudad Juarez 1984: Co-60 teletherapy head dismantled; ~4,000 people exposed; 3 deaths; metal smelted into rebar</t>
  </si>
  <si>
    <t>Facility closure; sold as scrap; stolen for metal value</t>
  </si>
  <si>
    <t>Mexico, India, Pakistan, Iraq</t>
  </si>
  <si>
    <t>~3,000 cobalt teletherapy units globally; many in developing nations</t>
  </si>
  <si>
    <t>IAEA TECDOC-1344; IAEA event database</t>
  </si>
  <si>
    <t>Cs-137 Well Logging Source</t>
  </si>
  <si>
    <t>2 Ci</t>
  </si>
  <si>
    <t>Numerous lost-in-hole incidents globally; NRC LLD 2001</t>
  </si>
  <si>
    <t>Drilling accidents; stuck tool</t>
  </si>
  <si>
    <t>Middle East, Africa, S. America, Former USSR</t>
  </si>
  <si>
    <t>API logging well incident database has &gt;150 lost source events</t>
  </si>
  <si>
    <t>NRC NUREG-1579; API RP 45</t>
  </si>
  <si>
    <t>Am-241:Be Well Logging Source</t>
  </si>
  <si>
    <t>15 Ci</t>
  </si>
  <si>
    <t>Brazil 2001: AmBe logging source found by scavengers; delayed notification</t>
  </si>
  <si>
    <t>Lost-in-hole; abandoned well</t>
  </si>
  <si>
    <t>Brazil, Nigeria, Kazakhstan, Russia</t>
  </si>
  <si>
    <t>432-year HL = permanent contamination risk if not recovered</t>
  </si>
  <si>
    <t>IAEA GOV/2003/27</t>
  </si>
  <si>
    <t>Beta-M Sr-90 RTG</t>
  </si>
  <si>
    <t>35,000 Ci</t>
  </si>
  <si>
    <t>Georgia 1997: three soldiers found abandoned RTGs; all developed acute radiation syndrome; one died</t>
  </si>
  <si>
    <t>Military abandonment; border instability</t>
  </si>
  <si>
    <t>Former Soviet Union (Abkhazia, Caucasus, Central Asia)</t>
  </si>
  <si>
    <t>~1,000 Soviet RTGs deployed; estimated 100+ unaccounted; IAEA recovery program 2001-2003</t>
  </si>
  <si>
    <t>IAEA TECDOC-1327; GOV/2003/27</t>
  </si>
  <si>
    <t>SNAP-9A Pu-238 Satellite RTG</t>
  </si>
  <si>
    <t>17,000 Ci</t>
  </si>
  <si>
    <t>SNAP-9A 1964 re-entry: Pu-238 released globally; detected in stratosphere; raised global Pu-238 baseline</t>
  </si>
  <si>
    <t>Satellite re-entry failure</t>
  </si>
  <si>
    <t>Global (launch/re-entry zones)</t>
  </si>
  <si>
    <t>LOW (current) — CRITICAL if launch failure</t>
  </si>
  <si>
    <t>NASA reviewed after 1964; GPHS-RTG uses more robust containment</t>
  </si>
  <si>
    <t>NASA EIS; NRPB SP-98</t>
  </si>
  <si>
    <t>Ir-192 Pipeline Crawler</t>
  </si>
  <si>
    <t>80 Ci</t>
  </si>
  <si>
    <t>Thailand 2000: Ir-192 pigtail lost during transport; several overexposure injuries</t>
  </si>
  <si>
    <t>Transport mishandling; pigtail disconnection</t>
  </si>
  <si>
    <t>Southeast Asia, Middle East, former USSR</t>
  </si>
  <si>
    <t>Short HL (74d) moderates long-term risk; acute hazard period</t>
  </si>
  <si>
    <t>IAEA event database</t>
  </si>
  <si>
    <t>Ir-192 HDR Source (retraction failure)</t>
  </si>
  <si>
    <t>10 Ci</t>
  </si>
  <si>
    <t>Panama 2000: Cs-137 HDR calculation error — 17 deaths over-treatment; West Virginia 1992 HDR retraction failure</t>
  </si>
  <si>
    <t>Source wire not retracted; patient left with source; equipment failure</t>
  </si>
  <si>
    <t>USA, Panama, developing nations</t>
  </si>
  <si>
    <t>Most HDR accidents = software/human error not source loss</t>
  </si>
  <si>
    <t>WHO 2004 report; ASTRO patient safety</t>
  </si>
  <si>
    <t>Cs-137 Industrial Gauge (level/density)</t>
  </si>
  <si>
    <t>1–1,000 mCi</t>
  </si>
  <si>
    <t>Multiple European and Asian scrap metal incidents; Georgia 2002 scrap metal Cs-137 sources in steel</t>
  </si>
  <si>
    <t>Plant decommissioning; scrap metal theft</t>
  </si>
  <si>
    <t>China, India, Russia, Brazil, SE Asia</t>
  </si>
  <si>
    <t>Hundreds of unaccounted sealed sources estimated by IAEA</t>
  </si>
  <si>
    <t>IAEA GOV/2003/27; ITDB</t>
  </si>
  <si>
    <t>Soil Moisture/Density Gauge</t>
  </si>
  <si>
    <t>Cs-137 + Am-241:Be</t>
  </si>
  <si>
    <t>10+40 mCi</t>
  </si>
  <si>
    <t>Numerous US construction site thefts; NRC 2004 report on portable gauge security</t>
  </si>
  <si>
    <t>Jobsite theft; left at construction sites; contractor negligence</t>
  </si>
  <si>
    <t>USA, Australia, South Africa</t>
  </si>
  <si>
    <t>NRC fingerprinting rules for gauge users improved post-2005</t>
  </si>
  <si>
    <t>NRC NUREG-1556 Vol 14</t>
  </si>
  <si>
    <t>Ra-226 Legacy Brachytherapy Needles</t>
  </si>
  <si>
    <t>1–30 mg</t>
  </si>
  <si>
    <t>Multiple hospital find-and-abandon incidents globally; UK 2011 Ra-226 source found in car boot</t>
  </si>
  <si>
    <t>Hospital closure; box left behind; estate sales</t>
  </si>
  <si>
    <t>UK, France, Germany, India, Latin America</t>
  </si>
  <si>
    <t>1,600-year HL = permanent contamination; radon gas risk in storage</t>
  </si>
  <si>
    <t>IAEA TECDOC-1293; NRC IE Bull 82-02</t>
  </si>
  <si>
    <t>Gd-153 DEXA Bone Densitometer</t>
  </si>
  <si>
    <t>Up to 100 mCi</t>
  </si>
  <si>
    <t>Some abandoned units found in retired clinics; relatively low consequence</t>
  </si>
  <si>
    <t>Clinic closure; device abandoned</t>
  </si>
  <si>
    <t>USA, Europe</t>
  </si>
  <si>
    <t>LOW-MODERATE</t>
  </si>
  <si>
    <t>240-day HL; relatively low activity category</t>
  </si>
  <si>
    <t>NRC 10 CFR 35 decommissioning</t>
  </si>
  <si>
    <t>Pu-238 Nuclear Pacemakers (implanted)</t>
  </si>
  <si>
    <t>2–5 mCi</t>
  </si>
  <si>
    <t>Multiple incidents of cremation without HEPA filter; one US incident 2003 partial filter bypass</t>
  </si>
  <si>
    <t>Patient death; family unaware of pacemaker; crematorium</t>
  </si>
  <si>
    <t>USA, UK, France, Germany</t>
  </si>
  <si>
    <t>Most patients deceased; ~4000 devices; registry incomplete</t>
  </si>
  <si>
    <t>NRC ML030940561; AHA Circ 1998</t>
  </si>
  <si>
    <t>Boeing 747 DU Counterweight</t>
  </si>
  <si>
    <t>U-238 (DU)</t>
  </si>
  <si>
    <t>12–83 lbs per wt</t>
  </si>
  <si>
    <t>N/A (exempt)</t>
  </si>
  <si>
    <t>Taipei, Taiwan 2002: B747 crash; DU counterweights scattered; Taiwan EPA response; contamination minimal</t>
  </si>
  <si>
    <t>Crash/fire; salvage operations</t>
  </si>
  <si>
    <t>Airport crash zones; military salvage</t>
  </si>
  <si>
    <t>Alpha hazard; crash contamination scenario documented</t>
  </si>
  <si>
    <t>FAA AC 20-123; AAIB report; NRC ML032180089</t>
  </si>
  <si>
    <t>Co-60 Food Sterilization Irradiator</t>
  </si>
  <si>
    <t>Up to 2,000,000 Ci</t>
  </si>
  <si>
    <t>El Salvador 1989: maintenance worker entered beam; 1 death; Decatur IL 1974: worker entry; 1 death</t>
  </si>
  <si>
    <t>Safety interlock failure; maintenance error</t>
  </si>
  <si>
    <t>USA, Latin America, Southeast Asia, India</t>
  </si>
  <si>
    <t>Pool irradiators cannot be safely abandoned; decommissioning is complex</t>
  </si>
  <si>
    <t>IAEA SSG-8; NRC 10 CFR 36</t>
  </si>
  <si>
    <t>Am-241/Be or Pu-Be Neutron Source</t>
  </si>
  <si>
    <t>Am-241:Be / Pu-239:Be</t>
  </si>
  <si>
    <t>1–100 Ci</t>
  </si>
  <si>
    <t>Multiple lost-in-hole events; Iraq 1987: numerous well logging sources abandoned</t>
  </si>
  <si>
    <t>Well abandonment; war/conflict; nationalization</t>
  </si>
  <si>
    <t>Iraq, Iran, Libya, Russia, Sudan</t>
  </si>
  <si>
    <t>Very long HL (432yr Am; 24110yr Pu) = centuries of hazard</t>
  </si>
  <si>
    <t>IAEA TECDOC-1241</t>
  </si>
  <si>
    <t>MILITARY &amp; AEROSPACE RADIOACTIVE DEVICES — DU Munitions, Aircraft Counterweights, RTGs, Radiac Calibrators</t>
  </si>
  <si>
    <t>Device / Platform</t>
  </si>
  <si>
    <t>Service / Operator</t>
  </si>
  <si>
    <t>Form</t>
  </si>
  <si>
    <t>DU / Activity</t>
  </si>
  <si>
    <t>Regulatory Framework</t>
  </si>
  <si>
    <t>Hazard (intact)</t>
  </si>
  <si>
    <t>Hazard (damaged/fire)</t>
  </si>
  <si>
    <t>Contamination Scenario</t>
  </si>
  <si>
    <t>EOD/CBRN Protocol</t>
  </si>
  <si>
    <t>Classification</t>
  </si>
  <si>
    <t>Country of Use</t>
  </si>
  <si>
    <t>Notes / Sources</t>
  </si>
  <si>
    <t>30mm PGU-20 DU Penetrator (GAU-8/A, A-10 Warthog)</t>
  </si>
  <si>
    <t>US Air Force / General Dynamics</t>
  </si>
  <si>
    <t>Metal rod (pyrophoric)</t>
  </si>
  <si>
    <t>~300 g DU/round; ~3,900 DU rounds/GAU-8/A burst</t>
  </si>
  <si>
    <t>NRC 10 CFR 40 (DU exempt &lt; 15 lbs)</t>
  </si>
  <si>
    <t>LOW — alpha emitter; negligible gamma</t>
  </si>
  <si>
    <t>HIGH — pyrophoric: 20-30% burns on impact; U-oxide aerosol</t>
  </si>
  <si>
    <t>Impact site: U-oxide dust plume; soil contamination radius ~50m</t>
  </si>
  <si>
    <t>Alpha wipe survey; NIOSH DU SOP; do NOT disturb impact craters; PPE Level C minimum</t>
  </si>
  <si>
    <t>Kosovo 1999: UNEP found elevated U levels at 8 of 11 sites; Gulf War: 125 US friendly-fire DU casualties</t>
  </si>
  <si>
    <t>UNCLASSIFIED (declassified post-Kosovo)</t>
  </si>
  <si>
    <t>USA; UK (Challenger 2 CHARM 3 DU rounds); Netherlands (F-16 strafing training)</t>
  </si>
  <si>
    <t>NATO AC/326 SG-N(03)5; UNEP 2001; WHO/SDE/PHE/01.1</t>
  </si>
  <si>
    <t>M829 120mm DU APFSDS Round (M1A2)</t>
  </si>
  <si>
    <t>DU metal dart + sabot</t>
  </si>
  <si>
    <t>~4.5 kg DU per round</t>
  </si>
  <si>
    <t>NRC 10 CFR 40</t>
  </si>
  <si>
    <t>LOW (intact)</t>
  </si>
  <si>
    <t>HIGH (post-impact or fire in vehicle)</t>
  </si>
  <si>
    <t>Vehicle fire: U-oxide fume inside fighting compartment; crew inhalation risk</t>
  </si>
  <si>
    <t>Alpha wipe; HEPA vacuum; do NOT enter burning vehicle; FAO-27 protocol</t>
  </si>
  <si>
    <t>Gulf War: &gt;320 US/UK vehicles struck by DU; 100+ contaminated hulks remain in Kuwait</t>
  </si>
  <si>
    <t>UNCLASSIFIED</t>
  </si>
  <si>
    <t>USA; UK</t>
  </si>
  <si>
    <t>FM 3-3-1; DERA/TR97214</t>
  </si>
  <si>
    <t>M1 Abrams DU Composite Armor (Chobham-DU)</t>
  </si>
  <si>
    <t>DU plates laminated in composite</t>
  </si>
  <si>
    <t>~1,000–3,000 kg total per vehicle</t>
  </si>
  <si>
    <t>NRC 10 CFR 40; Army regulation AR 385-11</t>
  </si>
  <si>
    <t>LOW (intact armor)</t>
  </si>
  <si>
    <t>HIGH (penetrated / burning hull)</t>
  </si>
  <si>
    <t>Burning vehicle: DU aerosolizes in fire; crew compartment contaminated</t>
  </si>
  <si>
    <t>Alpha survey hull exterior; do NOT cut/grind; decontaminate with water</t>
  </si>
  <si>
    <t>T-72 vs M1A1 incidents in Iraq 2003 Gulf War II: contaminated hulks</t>
  </si>
  <si>
    <t>SECRET (armor composition)</t>
  </si>
  <si>
    <t>USA</t>
  </si>
  <si>
    <t>FM 3-3-1; DTRA guidelines; CHPPM Technical Guide 150</t>
  </si>
  <si>
    <t>Challenger 2 CHARM 3 DU Round</t>
  </si>
  <si>
    <t>British Army</t>
  </si>
  <si>
    <t>Metal dart + titanium penetrator</t>
  </si>
  <si>
    <t>~4.2 kg DU per round</t>
  </si>
  <si>
    <t>UK Radioactive Substances Act (exempt)</t>
  </si>
  <si>
    <t>Same as M829</t>
  </si>
  <si>
    <t>CBRN SOP; UK MoD JSP-392</t>
  </si>
  <si>
    <t>UK MoD 2001 review; DU health monitoring programme for Gulf War veterans</t>
  </si>
  <si>
    <t>UK; sold to Oman</t>
  </si>
  <si>
    <t>UK MoD DU programme; JSP-392</t>
  </si>
  <si>
    <t>Boeing 747 DU Tail Counterweight (all variants)</t>
  </si>
  <si>
    <t>Boeing / Airlines globally</t>
  </si>
  <si>
    <t>Cast DU prism, Cd-plated</t>
  </si>
  <si>
    <t>12–83 lbs/weight; 316 max per 747 tail = up to 1,059 lbs total</t>
  </si>
  <si>
    <t>NRC (general licence &lt;15 lb); exempt set; FAA AC 20-123</t>
  </si>
  <si>
    <t>LOW (flight operations)</t>
  </si>
  <si>
    <t>MODERATE (crash/fire)</t>
  </si>
  <si>
    <t>Crash with fire: DU oxidizes; U-oxide contamination at crash site radius ~50m</t>
  </si>
  <si>
    <t>FAA AC 20-123; DOT ERG; alpha wipe survey at crash site</t>
  </si>
  <si>
    <t>Amsterdam 1992: El Al 747 crash; DU counterweights found in debris; Dutch govt inquiry</t>
  </si>
  <si>
    <t>UNCLASSIFIED (public FAA record)</t>
  </si>
  <si>
    <t>All 747 operators (1968–1981 build)</t>
  </si>
  <si>
    <t>NRC ML032180089; FAA AC 20-123; Dutch Health Council 1998</t>
  </si>
  <si>
    <t>L-1011 / DC-10 / B727 DU Counterweight</t>
  </si>
  <si>
    <t>Various manufacturers</t>
  </si>
  <si>
    <t>Cast DU, Cd-plated</t>
  </si>
  <si>
    <t>11–191 lbs per weight; up to 1,000+ lbs per aircraft</t>
  </si>
  <si>
    <t>NRC general licence; FAA exempt</t>
  </si>
  <si>
    <t>Same as 747 scenario</t>
  </si>
  <si>
    <t>Same as 747 protocol</t>
  </si>
  <si>
    <t>NRC estimates ~2 million lbs DU in commercial aviation service (1981)</t>
  </si>
  <si>
    <t>Global airlines</t>
  </si>
  <si>
    <t>Ra-226 WWII Cockpit Altimeter / Compass</t>
  </si>
  <si>
    <t>US Navy/Army Air Forces; RAF; Luftwaffe</t>
  </si>
  <si>
    <t>Ra-226 luminous paint on dial face</t>
  </si>
  <si>
    <t>0.1–10 µCi per instrument</t>
  </si>
  <si>
    <t>NRC (legacy; pre-regulation)</t>
  </si>
  <si>
    <t>MODERATE (cracked dial/dust)</t>
  </si>
  <si>
    <t>Paint fragmentation; dust inhalation; radon off-gassing in storage containers</t>
  </si>
  <si>
    <t>Ventilate storage; alpha survey; gloves; NRC notification if found in quantity</t>
  </si>
  <si>
    <t>Multiple WWII aircraft restoration finds in UK, Australia, USA; NRC museum notifications</t>
  </si>
  <si>
    <t>USA, UK, Canada, Germany, USSR, Japan</t>
  </si>
  <si>
    <t>NRC ML18131A356; AAIB Special Bulletin S3/2014</t>
  </si>
  <si>
    <t>AN/PDR-77 Alpha RADIAC Set</t>
  </si>
  <si>
    <t>Pu-239 (check source via AN/UDM-6)</t>
  </si>
  <si>
    <t>Alpha check source disc in calibration jig</t>
  </si>
  <si>
    <t>Exempt quantity</t>
  </si>
  <si>
    <t>Army TM 11-6665-series; NRC general licence</t>
  </si>
  <si>
    <t>LOW (check source)</t>
  </si>
  <si>
    <t>Alpha; contained in jig</t>
  </si>
  <si>
    <t>TM procedures; replace expired source through Army supply chain</t>
  </si>
  <si>
    <t>Operational equipment; no incidents on record</t>
  </si>
  <si>
    <t>TM 11-6665-227-12; CECOM/E-TR-92-1</t>
  </si>
  <si>
    <t>AN/UDM-2 Radiac Calibrator Set</t>
  </si>
  <si>
    <t>Check source foil in housing</t>
  </si>
  <si>
    <t>Army TM; NRC general licence</t>
  </si>
  <si>
    <t>Beta foil; minimal contamination</t>
  </si>
  <si>
    <t>Standard Army TM procedures</t>
  </si>
  <si>
    <t>Standard logistics item</t>
  </si>
  <si>
    <t>TM 11-6665-227-12</t>
  </si>
  <si>
    <t>SNAP-9A RTG (TRANSIT Satellites)</t>
  </si>
  <si>
    <t>US Navy / AEC / DOE</t>
  </si>
  <si>
    <t>PuO2 fuel in graphite ablator</t>
  </si>
  <si>
    <t>~17,000 Ci Pu-238</t>
  </si>
  <si>
    <t>DOE; NASA; classified at time</t>
  </si>
  <si>
    <t>HIGH (re-entry dispersal)</t>
  </si>
  <si>
    <t>EXTREME (re-entry burnup)</t>
  </si>
  <si>
    <t>1964 failure: global Pu-238 stratospheric dispersal; still detectable in ice cores</t>
  </si>
  <si>
    <t>Historical; DOE archival; no current operational units</t>
  </si>
  <si>
    <t>TRANSIT 5BN-3 re-entry 1964: released ~1 kg Pu-238 globally; measurable global contamination increase</t>
  </si>
  <si>
    <t>UNCLASSIFIED (declassified)</t>
  </si>
  <si>
    <t>NASA/CR-2018-219560; DTRA; Shaughnessy &amp; Gaffney 2005</t>
  </si>
  <si>
    <t>NASA GPHS-RTG (Cassini spacecraft)</t>
  </si>
  <si>
    <t>NASA / DOE</t>
  </si>
  <si>
    <t>PuO2 ceramic in Ir-clad GPHS module</t>
  </si>
  <si>
    <t>~10.9 kg Pu-238 per RTG × 3 units = ~32.7 kg Pu-238 total (Cassini)</t>
  </si>
  <si>
    <t>NASA-STD-8719.12; NEPA EIS; INSRP review</t>
  </si>
  <si>
    <t>LOW (orbital / cruise)</t>
  </si>
  <si>
    <t>EXTREME (inadvertent re-entry or launch explosion)</t>
  </si>
  <si>
    <t>EIS modeled 5 scenarios; worst case: Earth flyby re-entry ~4,800 cancer fatalities expected over 50yr</t>
  </si>
  <si>
    <t>FEMA; DOE Emergency Response; no field protocol (classified launch range)</t>
  </si>
  <si>
    <t>Cassini 1997 launch: no accident; flyby 1999 nominal</t>
  </si>
  <si>
    <t>UNCLASSIFIED EIS</t>
  </si>
  <si>
    <t>NASA EIS for Cassini 1997; Kathy Schneider NRC; INSRP 1997</t>
  </si>
  <si>
    <t>Multi-Mission RTG (MMRTG) – Mars Curiosity/Perseverance</t>
  </si>
  <si>
    <t>NASA / DOE / Idaho National Lab</t>
  </si>
  <si>
    <t>PuO2 ceramic GPHS modules</t>
  </si>
  <si>
    <t>~4.8 kg Pu-238 per MMRTG</t>
  </si>
  <si>
    <t>NASA-STD-8719.12; NRC/DOE</t>
  </si>
  <si>
    <t>LOW (Mars surface)</t>
  </si>
  <si>
    <t>HIGH (launch abort/re-entry)</t>
  </si>
  <si>
    <t>Launch abort scenario: localized PuO2 dispersal at launch site; Pu-238 non-fissile</t>
  </si>
  <si>
    <t>Launch range procedures; FEMA; no first-responder encounter expected on Earth</t>
  </si>
  <si>
    <t>MSL 2011 MMRTG — no accidents</t>
  </si>
  <si>
    <t>NASA EIS MSL 2006</t>
  </si>
  <si>
    <t>Pu-238 Cardiac Pacemaker (NUMEC/Telectronics)</t>
  </si>
  <si>
    <t>NUMEC / Telectronics / Medtronic</t>
  </si>
  <si>
    <t>PuO2 in Ti/Pt hermetic capsule</t>
  </si>
  <si>
    <t>~2–5 mCi per device</t>
  </si>
  <si>
    <t>NRC 10 CFR 35; exemption for implant</t>
  </si>
  <si>
    <t>LOW (autopsy/cremation)</t>
  </si>
  <si>
    <t>Cremation without HEPA: Pu-238 in flue gases; autopsy scalpel penetration theoretically possible (unlikely)</t>
  </si>
  <si>
    <t>Notify NRC before cremation; HEPA filter crematorium; NRC Form 748</t>
  </si>
  <si>
    <t>2003 US crematorium incident: Pu-238 filter bypass detected by air monitor</t>
  </si>
  <si>
    <t>USA, UK, France</t>
  </si>
  <si>
    <t>NRC ML030940561; Circ. Suppl 1998</t>
  </si>
  <si>
    <t>SECTOR ANALYTICS — Device Distribution by Sector, Hazard Level, and Isotope</t>
  </si>
  <si>
    <t>Devices by Sector</t>
  </si>
  <si>
    <t>Devices by Hazard Level</t>
  </si>
  <si>
    <t>Count</t>
  </si>
  <si>
    <t>% of Total</t>
  </si>
  <si>
    <t>Bar</t>
  </si>
  <si>
    <t>Medical</t>
  </si>
  <si>
    <t>Industrial</t>
  </si>
  <si>
    <t>Oil</t>
  </si>
  <si>
    <t>Military</t>
  </si>
  <si>
    <t>LOW/SAFE</t>
  </si>
  <si>
    <t>Research</t>
  </si>
  <si>
    <t>Security</t>
  </si>
  <si>
    <t>Aeronautical</t>
  </si>
  <si>
    <t>Consumer</t>
  </si>
  <si>
    <t>Laboratory</t>
  </si>
  <si>
    <t>Aerospace</t>
  </si>
  <si>
    <t>Civil Defense</t>
  </si>
  <si>
    <t>Civilian</t>
  </si>
  <si>
    <t>Top Isotopes by Device Frequency</t>
  </si>
  <si>
    <t>Device Count</t>
  </si>
  <si>
    <t>% of All Devices</t>
  </si>
  <si>
    <t>64 hours</t>
  </si>
  <si>
    <t>U-238</t>
  </si>
  <si>
    <t>4.47B yr</t>
  </si>
  <si>
    <t>Cs-137;</t>
  </si>
  <si>
    <t>6 hours</t>
  </si>
  <si>
    <t>14.05B yr</t>
  </si>
  <si>
    <t>Total Devices Catalogued: 80  |  Total Isotopes Catalogued: 31  |  Generated: 2026-04-06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</si>
</sst>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9"/>
      <name val="Calibri"/>
    </font>
    <font>
      <i/>
      <sz val="8"/>
      <color rgb="FF595959"/>
      <name val="Calibri"/>
    </font>
    <font>
      <b/>
      <sz val="13"/>
      <color rgb="FF1F3864"/>
      <name val="Calibri"/>
    </font>
    <font>
      <sz val="9"/>
      <color rgb="FFC00000"/>
      <name val="Calibri"/>
    </font>
    <font>
      <sz val="9"/>
      <color rgb="FFE26B0A"/>
      <name val="Calibri"/>
    </font>
    <font>
      <sz val="9"/>
      <color rgb="FFBF8F00"/>
      <name val="Calibri"/>
    </font>
    <font>
      <sz val="9"/>
      <color rgb="FF375623"/>
      <name val="Calibri"/>
    </font>
    <font>
      <sz val="9"/>
      <color rgb="FF7F6000"/>
      <name val="Calibri"/>
    </font>
    <font>
      <b/>
      <sz val="13"/>
      <color rgb="FFFFFFFF"/>
      <name val="Calibri"/>
    </font>
    <font>
      <b/>
      <sz val="9"/>
      <color rgb="FF1F3864"/>
      <name val="Calibri"/>
    </font>
    <font>
      <b/>
      <sz val="9"/>
      <color rgb="FFC00000"/>
      <name val="Calibri"/>
    </font>
    <font>
      <b/>
      <sz val="9"/>
      <color rgb="FFE26B0A"/>
      <name val="Calibri"/>
    </font>
    <font>
      <b/>
      <sz val="9"/>
      <color rgb="FFBF8F00"/>
      <name val="Calibri"/>
    </font>
    <font>
      <b/>
      <sz val="9"/>
      <color rgb="FF7F6000"/>
      <name val="Calibri"/>
    </font>
    <font>
      <b/>
      <sz val="9"/>
      <color rgb="FF375623"/>
      <name val="Calibri"/>
    </font>
    <font>
      <b/>
      <sz val="9"/>
      <color rgb="FF000000"/>
      <name val="Calibri"/>
    </font>
    <font>
      <b/>
      <sz val="12"/>
      <color rgb="FFFFFFFF"/>
      <name val="Calibri"/>
    </font>
    <font>
      <b/>
      <sz val="11"/>
      <color rgb="FF2E75B6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E26B0A"/>
      </patternFill>
    </fill>
    <fill>
      <patternFill patternType="solid">
        <fgColor rgb="FFBF8F00"/>
      </patternFill>
    </fill>
    <fill>
      <patternFill patternType="solid">
        <fgColor rgb="FF375623"/>
      </patternFill>
    </fill>
    <fill>
      <patternFill patternType="solid">
        <fgColor rgb="FF44546A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FFE0E0"/>
      </patternFill>
    </fill>
    <fill>
      <patternFill patternType="solid">
        <fgColor rgb="FFFFF0DD"/>
      </patternFill>
    </fill>
    <fill>
      <patternFill patternType="solid">
        <fgColor rgb="FFFFFACD"/>
      </patternFill>
    </fill>
    <fill>
      <patternFill patternType="solid">
        <fgColor rgb="FFE2EFDA"/>
      </patternFill>
    </fill>
    <fill>
      <patternFill patternType="solid">
        <fgColor rgb="FFFFFFF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0E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left" vertical="top" wrapText="1" indent="1"/>
    </xf>
    <xf numFmtId="0" fontId="11" fillId="12" borderId="1" xfId="0" applyFont="1" applyFill="1" applyBorder="1" applyAlignment="1">
      <alignment horizontal="left" vertical="top" wrapText="1" indent="1"/>
    </xf>
    <xf numFmtId="0" fontId="12" fillId="13" borderId="1" xfId="0" applyFont="1" applyFill="1" applyBorder="1" applyAlignment="1">
      <alignment horizontal="left" vertical="top" wrapText="1" indent="1"/>
    </xf>
    <xf numFmtId="0" fontId="13" fillId="14" borderId="1" xfId="0" applyFont="1" applyFill="1" applyBorder="1" applyAlignment="1">
      <alignment horizontal="left" vertical="top" wrapText="1" indent="1"/>
    </xf>
    <xf numFmtId="0" fontId="14" fillId="15" borderId="1" xfId="0" applyFont="1" applyFill="1" applyBorder="1" applyAlignment="1">
      <alignment horizontal="left" vertical="top" wrapText="1" indent="1"/>
    </xf>
    <xf numFmtId="0" fontId="6" fillId="16" borderId="1" xfId="0" applyFont="1" applyFill="1" applyBorder="1" applyAlignment="1">
      <alignment horizontal="left" vertical="top" wrapText="1" indent="1"/>
    </xf>
    <xf numFmtId="0" fontId="4" fillId="4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top" wrapText="1" indent="1"/>
    </xf>
    <xf numFmtId="0" fontId="18" fillId="12" borderId="1" xfId="0" applyFont="1" applyFill="1" applyBorder="1" applyAlignment="1">
      <alignment horizontal="left" vertical="top" wrapText="1" indent="1"/>
    </xf>
    <xf numFmtId="0" fontId="19" fillId="13" borderId="1" xfId="0" applyFont="1" applyFill="1" applyBorder="1" applyAlignment="1">
      <alignment horizontal="left" vertical="top" wrapText="1" indent="1"/>
    </xf>
    <xf numFmtId="0" fontId="20" fillId="15" borderId="1" xfId="0" applyFont="1" applyFill="1" applyBorder="1" applyAlignment="1">
      <alignment horizontal="left" vertical="top" wrapText="1" indent="1"/>
    </xf>
    <xf numFmtId="0" fontId="21" fillId="14" borderId="1" xfId="0" applyFont="1" applyFill="1" applyBorder="1" applyAlignment="1">
      <alignment horizontal="left" vertical="top" wrapText="1" indent="1"/>
    </xf>
    <xf numFmtId="0" fontId="22" fillId="16" borderId="1" xfId="0" applyFont="1" applyFill="1" applyBorder="1" applyAlignment="1">
      <alignment horizontal="left" vertical="top" wrapText="1" indent="1"/>
    </xf>
    <xf numFmtId="0" fontId="4" fillId="7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left" vertical="top" wrapText="1" indent="1"/>
    </xf>
    <xf numFmtId="0" fontId="7" fillId="14" borderId="1" xfId="0" applyFont="1" applyFill="1" applyBorder="1" applyAlignment="1">
      <alignment horizontal="left" vertical="top" wrapText="1" indent="1"/>
    </xf>
    <xf numFmtId="0" fontId="4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 indent="1"/>
    </xf>
    <xf numFmtId="0" fontId="4" fillId="10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left" vertical="top" wrapText="1" indent="1"/>
    </xf>
    <xf numFmtId="0" fontId="0" fillId="0" borderId="1" xfId="0" applyBorder="1"/>
    <xf numFmtId="164" fontId="0" fillId="0" borderId="1" xfId="0" applyNumberFormat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8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left" vertical="center" wrapText="1" indent="1"/>
    </xf>
    <xf numFmtId="0" fontId="5" fillId="7" borderId="1" xfId="0" applyFont="1" applyFill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0" fontId="2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17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Device Count by Sector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'Sector Analytics'!$C$4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'Sector Analytics'!$B$5:$B$16</c:f>
              <c:strCache>
                <c:ptCount val="12"/>
                <c:pt idx="0">
                  <c:v>Medical</c:v>
                </c:pt>
                <c:pt idx="1">
                  <c:v>Industrial</c:v>
                </c:pt>
                <c:pt idx="2">
                  <c:v>Oil</c:v>
                </c:pt>
                <c:pt idx="3">
                  <c:v>Military</c:v>
                </c:pt>
                <c:pt idx="4">
                  <c:v>Research</c:v>
                </c:pt>
                <c:pt idx="5">
                  <c:v>Security</c:v>
                </c:pt>
                <c:pt idx="6">
                  <c:v>Aeronautical</c:v>
                </c:pt>
                <c:pt idx="7">
                  <c:v>Consumer</c:v>
                </c:pt>
                <c:pt idx="8">
                  <c:v>Laboratory</c:v>
                </c:pt>
                <c:pt idx="9">
                  <c:v>Aerospace</c:v>
                </c:pt>
                <c:pt idx="10">
                  <c:v>Civil Defense</c:v>
                </c:pt>
                <c:pt idx="11">
                  <c:v>Civilian</c:v>
                </c:pt>
              </c:strCache>
            </c:strRef>
          </c:cat>
          <c:val>
            <c:numRef>
              <c:f>'Sector Analytics'!$C$5:$C$16</c:f>
              <c:numCache>
                <c:formatCode>General</c:formatCode>
                <c:ptCount val="12"/>
                <c:pt idx="0">
                  <c:v>32</c:v>
                </c:pt>
                <c:pt idx="1">
                  <c:v>22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8-415D-BF8A-9CEA69400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Number of Devices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Sector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Hazard Level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'Sector Analytics'!$H$4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'Sector Analytics'!$G$5:$G$8</c:f>
              <c:strCache>
                <c:ptCount val="4"/>
                <c:pt idx="0">
                  <c:v>EXTREME</c:v>
                </c:pt>
                <c:pt idx="1">
                  <c:v>HIGH</c:v>
                </c:pt>
                <c:pt idx="2">
                  <c:v>MODERATE</c:v>
                </c:pt>
                <c:pt idx="3">
                  <c:v>LOW/SAFE</c:v>
                </c:pt>
              </c:strCache>
            </c:strRef>
          </c:cat>
          <c:val>
            <c:numRef>
              <c:f>'Sector Analytics'!$H$5:$H$8</c:f>
              <c:numCache>
                <c:formatCode>General</c:formatCode>
                <c:ptCount val="4"/>
                <c:pt idx="0">
                  <c:v>19</c:v>
                </c:pt>
                <c:pt idx="1">
                  <c:v>16</c:v>
                </c:pt>
                <c:pt idx="2">
                  <c:v>17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3-40A5-9236-DF5636DE1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42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42</xdr:row>
      <xdr:rowOff>0</xdr:rowOff>
    </xdr:from>
    <xdr:ext cx="50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Database" displayName="DeviceDatabase" ref="A2:S82">
  <autoFilter ref="A2:S82" xr:uid="{00000000-0009-0000-0100-000001000000}"/>
  <tableColumns count="19">
    <tableColumn id="1" xr3:uid="{00000000-0010-0000-0000-000001000000}" name="Device Name"/>
    <tableColumn id="2" xr3:uid="{00000000-0010-0000-0000-000002000000}" name="Manufacturer / Owner"/>
    <tableColumn id="3" xr3:uid="{00000000-0010-0000-0000-000003000000}" name="Sector / Application"/>
    <tableColumn id="4" xr3:uid="{00000000-0010-0000-0000-000004000000}" name="Primary Isotope(s)"/>
    <tableColumn id="5" xr3:uid="{00000000-0010-0000-0000-000005000000}" name="Activity (Typical)"/>
    <tableColumn id="6" xr3:uid="{00000000-0010-0000-0000-000006000000}" name="Half-Life"/>
    <tableColumn id="7" xr3:uid="{00000000-0010-0000-0000-000007000000}" name="Radiation Type"/>
    <tableColumn id="8" xr3:uid="{00000000-0010-0000-0000-000008000000}" name="IAEA Cat."/>
    <tableColumn id="9" xr3:uid="{00000000-0010-0000-0000-000009000000}" name="Hazard Level"/>
    <tableColumn id="10" xr3:uid="{00000000-0010-0000-0000-00000A000000}" name="Dose Rate @ 1m (Bare/Unshielded)"/>
    <tableColumn id="11" xr3:uid="{00000000-0010-0000-0000-00000B000000}" name="Hazard Profile Summary"/>
    <tableColumn id="12" xr3:uid="{00000000-0010-0000-0000-00000C000000}" name="Key Regulatory Framework"/>
    <tableColumn id="13" xr3:uid="{00000000-0010-0000-0000-00000D000000}" name="Physical Form"/>
    <tableColumn id="14" xr3:uid="{00000000-0010-0000-0000-00000E000000}" name="Shielding Material"/>
    <tableColumn id="15" xr3:uid="{00000000-0010-0000-0000-00000F000000}" name="Encapsulation"/>
    <tableColumn id="16" xr3:uid="{00000000-0010-0000-0000-000010000000}" name="Orphan Source Risk"/>
    <tableColumn id="17" xr3:uid="{00000000-0010-0000-0000-000011000000}" name="Contamination Vector"/>
    <tableColumn id="18" xr3:uid="{00000000-0010-0000-0000-000012000000}" name="First Responder Action Code"/>
    <tableColumn id="19" xr3:uid="{00000000-0010-0000-0000-000013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RQuickRef" displayName="FRQuickRef" ref="A3:L83">
  <autoFilter ref="A3:L83" xr:uid="{00000000-0009-0000-0100-000002000000}"/>
  <tableColumns count="12">
    <tableColumn id="1" xr3:uid="{00000000-0010-0000-0100-000001000000}" name="Device Name"/>
    <tableColumn id="2" xr3:uid="{00000000-0010-0000-0100-000002000000}" name="Sector"/>
    <tableColumn id="3" xr3:uid="{00000000-0010-0000-0100-000003000000}" name="Isotope(s)"/>
    <tableColumn id="4" xr3:uid="{00000000-0010-0000-0100-000004000000}" name="Hazard Level"/>
    <tableColumn id="5" xr3:uid="{00000000-0010-0000-0100-000005000000}" name="IAEA Cat."/>
    <tableColumn id="6" xr3:uid="{00000000-0010-0000-0100-000006000000}" name="Dose Rate @ 1m"/>
    <tableColumn id="7" xr3:uid="{00000000-0010-0000-0100-000007000000}" name="Action Code"/>
    <tableColumn id="8" xr3:uid="{00000000-0010-0000-0100-000008000000}" name="Shielding Needed"/>
    <tableColumn id="9" xr3:uid="{00000000-0010-0000-0100-000009000000}" name="Contamination Risk"/>
    <tableColumn id="10" xr3:uid="{00000000-0010-0000-0100-00000A000000}" name="Radiation Type"/>
    <tableColumn id="11" xr3:uid="{00000000-0010-0000-0100-00000B000000}" name="Immediate Actions"/>
    <tableColumn id="12" xr3:uid="{00000000-0010-0000-0100-00000C000000}" name="Regulatory Contact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sotopeData" displayName="IsotopeData" ref="A2:P33">
  <autoFilter ref="A2:P33" xr:uid="{00000000-0009-0000-0100-000003000000}"/>
  <tableColumns count="16">
    <tableColumn id="1" xr3:uid="{00000000-0010-0000-0200-000001000000}" name="Isotope"/>
    <tableColumn id="2" xr3:uid="{00000000-0010-0000-0200-000002000000}" name="Symbol"/>
    <tableColumn id="3" xr3:uid="{00000000-0010-0000-0200-000003000000}" name="Z (Atomic No.)"/>
    <tableColumn id="4" xr3:uid="{00000000-0010-0000-0200-000004000000}" name="A (Mass No.)"/>
    <tableColumn id="5" xr3:uid="{00000000-0010-0000-0200-000005000000}" name="Half-Life"/>
    <tableColumn id="6" xr3:uid="{00000000-0010-0000-0200-000006000000}" name="Decay Mode"/>
    <tableColumn id="7" xr3:uid="{00000000-0010-0000-0200-000007000000}" name="Emax/Ephoton (keV)"/>
    <tableColumn id="8" xr3:uid="{00000000-0010-0000-0200-000008000000}" name="Specific Activity (TBq/g)"/>
    <tableColumn id="9" xr3:uid="{00000000-0010-0000-0200-000009000000}" name="Physical Form (typical)"/>
    <tableColumn id="10" xr3:uid="{00000000-0010-0000-0200-00000A000000}" name="Shielding HVL (mm Pb)"/>
    <tableColumn id="11" xr3:uid="{00000000-0010-0000-0200-00000B000000}" name="HVL Water/PE (cm)"/>
    <tableColumn id="12" xr3:uid="{00000000-0010-0000-0200-00000C000000}" name="Biological Hazard Pathway"/>
    <tableColumn id="13" xr3:uid="{00000000-0010-0000-0200-00000D000000}" name="Critical Organ"/>
    <tableColumn id="14" xr3:uid="{00000000-0010-0000-0200-00000E000000}" name="IAEA Category (typical devices)"/>
    <tableColumn id="15" xr3:uid="{00000000-0010-0000-0200-00000F000000}" name="Key Devices"/>
    <tableColumn id="16" xr3:uid="{00000000-0010-0000-0200-000010000000}" name="Sources / References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rphanRisk" displayName="OrphanRisk" ref="A2:N18">
  <autoFilter ref="A2:N18" xr:uid="{00000000-0009-0000-0100-000004000000}"/>
  <tableColumns count="14">
    <tableColumn id="1" xr3:uid="{00000000-0010-0000-0300-000001000000}" name="Device / Source"/>
    <tableColumn id="2" xr3:uid="{00000000-0010-0000-0300-000002000000}" name="Isotope"/>
    <tableColumn id="3" xr3:uid="{00000000-0010-0000-0300-000003000000}" name="Activity"/>
    <tableColumn id="4" xr3:uid="{00000000-0010-0000-0300-000004000000}" name="IAEA Cat."/>
    <tableColumn id="5" xr3:uid="{00000000-0010-0000-0300-000005000000}" name="Abandonment Risk (0-5)"/>
    <tableColumn id="6" xr3:uid="{00000000-0010-0000-0300-000006000000}" name="Theft Risk (0-5)"/>
    <tableColumn id="7" xr3:uid="{00000000-0010-0000-0300-000007000000}" name="Radiological Consequence (0-5)"/>
    <tableColumn id="8" xr3:uid="{00000000-0010-0000-0300-000008000000}" name="TOTAL RISK SCORE (0-15)"/>
    <tableColumn id="9" xr3:uid="{00000000-0010-0000-0300-000009000000}" name="Historical Incidents"/>
    <tableColumn id="10" xr3:uid="{00000000-0010-0000-0300-00000A000000}" name="Typical Scenario"/>
    <tableColumn id="11" xr3:uid="{00000000-0010-0000-0300-00000B000000}" name="Country / Region Risk"/>
    <tableColumn id="12" xr3:uid="{00000000-0010-0000-0300-00000C000000}" name="Recovery Priority"/>
    <tableColumn id="13" xr3:uid="{00000000-0010-0000-0300-00000D000000}" name="Regulatory Gaps / Notes"/>
    <tableColumn id="14" xr3:uid="{00000000-0010-0000-0300-00000E000000}" name="Key IAEA Reference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ilAerospace" displayName="MilAerospace" ref="A2:N15">
  <autoFilter ref="A2:N15" xr:uid="{00000000-0009-0000-0100-000005000000}"/>
  <tableColumns count="14">
    <tableColumn id="1" xr3:uid="{00000000-0010-0000-0400-000001000000}" name="Device / Platform"/>
    <tableColumn id="2" xr3:uid="{00000000-0010-0000-0400-000002000000}" name="Service / Operator"/>
    <tableColumn id="3" xr3:uid="{00000000-0010-0000-0400-000003000000}" name="Isotope"/>
    <tableColumn id="4" xr3:uid="{00000000-0010-0000-0400-000004000000}" name="Form"/>
    <tableColumn id="5" xr3:uid="{00000000-0010-0000-0400-000005000000}" name="DU / Activity"/>
    <tableColumn id="6" xr3:uid="{00000000-0010-0000-0400-000006000000}" name="Regulatory Framework"/>
    <tableColumn id="7" xr3:uid="{00000000-0010-0000-0400-000007000000}" name="Hazard (intact)"/>
    <tableColumn id="8" xr3:uid="{00000000-0010-0000-0400-000008000000}" name="Hazard (damaged/fire)"/>
    <tableColumn id="9" xr3:uid="{00000000-0010-0000-0400-000009000000}" name="Contamination Scenario"/>
    <tableColumn id="10" xr3:uid="{00000000-0010-0000-0400-00000A000000}" name="EOD/CBRN Protocol"/>
    <tableColumn id="11" xr3:uid="{00000000-0010-0000-0400-00000B000000}" name="Historical Incidents"/>
    <tableColumn id="12" xr3:uid="{00000000-0010-0000-0400-00000C000000}" name="Classification"/>
    <tableColumn id="13" xr3:uid="{00000000-0010-0000-0400-00000D000000}" name="Country of Use"/>
    <tableColumn id="14" xr3:uid="{00000000-0010-0000-0400-00000E000000}" name="Notes / Sources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M32"/>
  <sheetViews>
    <sheetView workbookViewId="0"/>
  </sheetViews>
  <sheetFormatPr defaultRowHeight="14.25" x14ac:dyDescent="0.45"/>
  <cols>
    <col min="1" max="1" width="3" customWidth="1"/>
    <col min="2" max="2" width="30" customWidth="1"/>
    <col min="3" max="3" width="45" customWidth="1"/>
    <col min="4" max="4" width="20" customWidth="1"/>
    <col min="5" max="5" width="40" customWidth="1"/>
    <col min="6" max="6" width="25" customWidth="1"/>
    <col min="7" max="7" width="3" customWidth="1"/>
  </cols>
  <sheetData>
    <row r="1" spans="2:13" ht="8" customHeight="1" x14ac:dyDescent="0.45"/>
    <row r="2" spans="2:13" ht="28.05" customHeight="1" x14ac:dyDescent="0.45">
      <c r="B2" s="39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2:13" ht="16.05" customHeight="1" x14ac:dyDescent="0.45">
      <c r="B3" s="41" t="s">
        <v>1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2:13" ht="6" customHeight="1" x14ac:dyDescent="0.45"/>
    <row r="5" spans="2:13" ht="20" customHeight="1" x14ac:dyDescent="0.45">
      <c r="B5" s="37" t="s">
        <v>2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2:13" ht="18" customHeight="1" x14ac:dyDescent="0.45">
      <c r="B6" s="29" t="s">
        <v>3</v>
      </c>
      <c r="C6" s="29" t="s">
        <v>4</v>
      </c>
      <c r="D6" s="29" t="s">
        <v>5</v>
      </c>
      <c r="E6" s="29" t="s">
        <v>6</v>
      </c>
      <c r="F6" s="29" t="s">
        <v>7</v>
      </c>
      <c r="G6" s="29" t="s">
        <v>8</v>
      </c>
    </row>
    <row r="7" spans="2:13" ht="18" customHeight="1" x14ac:dyDescent="0.45">
      <c r="B7" s="30" t="s">
        <v>9</v>
      </c>
      <c r="C7" s="31" t="s">
        <v>10</v>
      </c>
      <c r="D7" s="31" t="s">
        <v>11</v>
      </c>
      <c r="E7" s="31" t="s">
        <v>12</v>
      </c>
      <c r="F7" s="31" t="s">
        <v>13</v>
      </c>
      <c r="G7" s="31" t="s">
        <v>14</v>
      </c>
    </row>
    <row r="8" spans="2:13" ht="18" customHeight="1" x14ac:dyDescent="0.45">
      <c r="B8" s="32" t="s">
        <v>15</v>
      </c>
      <c r="C8" s="31" t="s">
        <v>16</v>
      </c>
      <c r="D8" s="31" t="s">
        <v>17</v>
      </c>
      <c r="E8" s="31" t="s">
        <v>18</v>
      </c>
      <c r="F8" s="31" t="s">
        <v>19</v>
      </c>
      <c r="G8" s="31" t="s">
        <v>20</v>
      </c>
    </row>
    <row r="9" spans="2:13" ht="18" customHeight="1" x14ac:dyDescent="0.45">
      <c r="B9" s="33" t="s">
        <v>21</v>
      </c>
      <c r="C9" s="31" t="s">
        <v>22</v>
      </c>
      <c r="D9" s="31" t="s">
        <v>23</v>
      </c>
      <c r="E9" s="31" t="s">
        <v>24</v>
      </c>
      <c r="F9" s="31" t="s">
        <v>25</v>
      </c>
      <c r="G9" s="31" t="s">
        <v>26</v>
      </c>
    </row>
    <row r="10" spans="2:13" ht="18" customHeight="1" x14ac:dyDescent="0.45">
      <c r="B10" s="34" t="s">
        <v>27</v>
      </c>
      <c r="C10" s="31" t="s">
        <v>28</v>
      </c>
      <c r="D10" s="31" t="s">
        <v>29</v>
      </c>
      <c r="E10" s="31" t="s">
        <v>30</v>
      </c>
      <c r="F10" s="31" t="s">
        <v>31</v>
      </c>
      <c r="G10" s="31" t="s">
        <v>32</v>
      </c>
    </row>
    <row r="11" spans="2:13" ht="18" customHeight="1" x14ac:dyDescent="0.45">
      <c r="B11" s="35" t="s">
        <v>33</v>
      </c>
      <c r="C11" s="31" t="s">
        <v>34</v>
      </c>
      <c r="D11" s="31" t="s">
        <v>35</v>
      </c>
      <c r="E11" s="31" t="s">
        <v>36</v>
      </c>
      <c r="F11" s="31" t="s">
        <v>37</v>
      </c>
      <c r="G11" s="31" t="s">
        <v>38</v>
      </c>
    </row>
    <row r="13" spans="2:13" ht="8" customHeight="1" x14ac:dyDescent="0.45"/>
    <row r="14" spans="2:13" ht="20" customHeight="1" x14ac:dyDescent="0.45">
      <c r="B14" s="42" t="s">
        <v>39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</row>
    <row r="15" spans="2:13" x14ac:dyDescent="0.45">
      <c r="B15" s="8" t="s">
        <v>40</v>
      </c>
      <c r="C15" s="8" t="s">
        <v>41</v>
      </c>
      <c r="D15" s="8" t="s">
        <v>42</v>
      </c>
      <c r="E15" s="8" t="s">
        <v>43</v>
      </c>
    </row>
    <row r="16" spans="2:13" ht="16.05" customHeight="1" x14ac:dyDescent="0.45">
      <c r="B16" s="36" t="s">
        <v>44</v>
      </c>
      <c r="C16" s="36" t="s">
        <v>45</v>
      </c>
      <c r="D16" s="36" t="s">
        <v>46</v>
      </c>
      <c r="E16" s="36" t="s">
        <v>47</v>
      </c>
    </row>
    <row r="17" spans="2:13" ht="16.05" customHeight="1" x14ac:dyDescent="0.45">
      <c r="B17" s="36" t="s">
        <v>48</v>
      </c>
      <c r="C17" s="36" t="s">
        <v>49</v>
      </c>
      <c r="D17" s="36" t="s">
        <v>50</v>
      </c>
      <c r="E17" s="36" t="s">
        <v>51</v>
      </c>
    </row>
    <row r="18" spans="2:13" ht="16.05" customHeight="1" x14ac:dyDescent="0.45">
      <c r="B18" s="36" t="s">
        <v>52</v>
      </c>
      <c r="C18" s="36" t="s">
        <v>53</v>
      </c>
      <c r="D18" s="36" t="s">
        <v>54</v>
      </c>
      <c r="E18" s="36" t="s">
        <v>55</v>
      </c>
    </row>
    <row r="19" spans="2:13" ht="16.05" customHeight="1" x14ac:dyDescent="0.45">
      <c r="B19" s="36" t="s">
        <v>56</v>
      </c>
      <c r="C19" s="36" t="s">
        <v>57</v>
      </c>
      <c r="D19" s="36" t="s">
        <v>58</v>
      </c>
      <c r="E19" s="36" t="s">
        <v>59</v>
      </c>
    </row>
    <row r="20" spans="2:13" ht="16.05" customHeight="1" x14ac:dyDescent="0.45">
      <c r="B20" s="36" t="s">
        <v>60</v>
      </c>
      <c r="C20" s="36" t="s">
        <v>61</v>
      </c>
      <c r="D20" s="36" t="s">
        <v>62</v>
      </c>
      <c r="E20" s="36" t="s">
        <v>63</v>
      </c>
    </row>
    <row r="21" spans="2:13" ht="16.05" customHeight="1" x14ac:dyDescent="0.45">
      <c r="B21" s="36" t="s">
        <v>64</v>
      </c>
      <c r="C21" s="36" t="s">
        <v>65</v>
      </c>
      <c r="D21" s="36" t="s">
        <v>66</v>
      </c>
      <c r="E21" s="36" t="s">
        <v>67</v>
      </c>
    </row>
    <row r="23" spans="2:13" ht="8" customHeight="1" x14ac:dyDescent="0.45"/>
    <row r="24" spans="2:13" ht="20" customHeight="1" x14ac:dyDescent="0.45">
      <c r="B24" s="37" t="s">
        <v>68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2:13" ht="18" customHeight="1" x14ac:dyDescent="0.45">
      <c r="B25" s="29" t="s">
        <v>69</v>
      </c>
      <c r="C25" s="40" t="s">
        <v>70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spans="2:13" ht="18" customHeight="1" x14ac:dyDescent="0.45">
      <c r="B26" s="8" t="s">
        <v>71</v>
      </c>
      <c r="C26" s="40" t="s">
        <v>72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</row>
    <row r="27" spans="2:13" ht="18" customHeight="1" x14ac:dyDescent="0.45">
      <c r="B27" s="15" t="s">
        <v>73</v>
      </c>
      <c r="C27" s="40" t="s">
        <v>74</v>
      </c>
      <c r="D27" s="38"/>
      <c r="E27" s="38"/>
      <c r="F27" s="38"/>
      <c r="G27" s="38"/>
      <c r="H27" s="38"/>
      <c r="I27" s="38"/>
      <c r="J27" s="38"/>
      <c r="K27" s="38"/>
      <c r="L27" s="38"/>
      <c r="M27" s="38"/>
    </row>
    <row r="28" spans="2:13" ht="18" customHeight="1" x14ac:dyDescent="0.45">
      <c r="B28" s="18" t="s">
        <v>75</v>
      </c>
      <c r="C28" s="40" t="s">
        <v>76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</row>
    <row r="29" spans="2:13" ht="18" customHeight="1" x14ac:dyDescent="0.45">
      <c r="B29" s="20" t="s">
        <v>77</v>
      </c>
      <c r="C29" s="40" t="s">
        <v>78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</row>
    <row r="30" spans="2:13" ht="18" customHeight="1" x14ac:dyDescent="0.45">
      <c r="B30" s="1" t="s">
        <v>79</v>
      </c>
      <c r="C30" s="40" t="s">
        <v>80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</row>
    <row r="32" spans="2:13" x14ac:dyDescent="0.45">
      <c r="B32" s="43" t="s">
        <v>81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</row>
  </sheetData>
  <mergeCells count="12">
    <mergeCell ref="B32:M32"/>
    <mergeCell ref="C28:M28"/>
    <mergeCell ref="C29:M29"/>
    <mergeCell ref="C30:M30"/>
    <mergeCell ref="C25:M25"/>
    <mergeCell ref="B14:M14"/>
    <mergeCell ref="C27:M27"/>
    <mergeCell ref="B24:M24"/>
    <mergeCell ref="B2:M2"/>
    <mergeCell ref="C26:M26"/>
    <mergeCell ref="B3:M3"/>
    <mergeCell ref="B5:M5"/>
  </mergeCells>
  <hyperlinks>
    <hyperlink ref="B25" location="'Master Device Database'!A1" display="→  Master Device Database" xr:uid="{00000000-0004-0000-0000-000000000000}"/>
    <hyperlink ref="B26" location="'First Responder Quick Ref'!A1" display="→  First Responder Quick Ref" xr:uid="{00000000-0004-0000-0000-000001000000}"/>
    <hyperlink ref="B27" location="'Isotope Technical Data'!A1" display="→  Isotope Technical Data" xr:uid="{00000000-0004-0000-0000-000002000000}"/>
    <hyperlink ref="B28" location="'Orphan Source Risk Register'!A1" display="→  Orphan Source Risk Register" xr:uid="{00000000-0004-0000-0000-000003000000}"/>
    <hyperlink ref="B29" location="'Military &amp; Aerospace'!A1" display="→  Military &amp; Aerospace" xr:uid="{00000000-0004-0000-0000-000004000000}"/>
    <hyperlink ref="B30" location="'Sector Analytics'!A1" display="→  Sector Analytics" xr:uid="{00000000-0004-0000-0000-00000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S82"/>
  <sheetViews>
    <sheetView workbookViewId="0">
      <pane ySplit="2" topLeftCell="A3" activePane="bottomLeft" state="frozen"/>
      <selection pane="bottomLeft" sqref="A1:S1"/>
    </sheetView>
  </sheetViews>
  <sheetFormatPr defaultRowHeight="14.25" x14ac:dyDescent="0.45"/>
  <cols>
    <col min="1" max="1" width="35" customWidth="1"/>
    <col min="2" max="3" width="28" customWidth="1"/>
    <col min="4" max="5" width="22" customWidth="1"/>
    <col min="6" max="7" width="18" customWidth="1"/>
    <col min="8" max="8" width="8" customWidth="1"/>
    <col min="9" max="9" width="15" customWidth="1"/>
    <col min="10" max="10" width="28" customWidth="1"/>
    <col min="11" max="11" width="50" customWidth="1"/>
    <col min="12" max="12" width="32" customWidth="1"/>
    <col min="13" max="13" width="20" customWidth="1"/>
    <col min="14" max="16" width="18" customWidth="1"/>
    <col min="17" max="17" width="22" customWidth="1"/>
    <col min="18" max="18" width="40" customWidth="1"/>
    <col min="19" max="19" width="32" customWidth="1"/>
  </cols>
  <sheetData>
    <row r="1" spans="1:19" ht="24" customHeight="1" x14ac:dyDescent="0.45">
      <c r="A1" s="44" t="s">
        <v>82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1:19" ht="22.05" customHeight="1" x14ac:dyDescent="0.45">
      <c r="A2" s="1" t="s">
        <v>83</v>
      </c>
      <c r="B2" s="1" t="s">
        <v>84</v>
      </c>
      <c r="C2" s="1" t="s">
        <v>85</v>
      </c>
      <c r="D2" s="1" t="s">
        <v>86</v>
      </c>
      <c r="E2" s="1" t="s">
        <v>87</v>
      </c>
      <c r="F2" s="1" t="s">
        <v>88</v>
      </c>
      <c r="G2" s="1" t="s">
        <v>89</v>
      </c>
      <c r="H2" s="1" t="s">
        <v>90</v>
      </c>
      <c r="I2" s="1" t="s">
        <v>91</v>
      </c>
      <c r="J2" s="1" t="s">
        <v>92</v>
      </c>
      <c r="K2" s="1" t="s">
        <v>93</v>
      </c>
      <c r="L2" s="1" t="s">
        <v>94</v>
      </c>
      <c r="M2" s="1" t="s">
        <v>95</v>
      </c>
      <c r="N2" s="1" t="s">
        <v>96</v>
      </c>
      <c r="O2" s="1" t="s">
        <v>97</v>
      </c>
      <c r="P2" s="1" t="s">
        <v>98</v>
      </c>
      <c r="Q2" s="1" t="s">
        <v>99</v>
      </c>
      <c r="R2" s="1" t="s">
        <v>100</v>
      </c>
      <c r="S2" s="1" t="s">
        <v>101</v>
      </c>
    </row>
    <row r="3" spans="1:19" ht="40.049999999999997" customHeight="1" x14ac:dyDescent="0.45">
      <c r="A3" s="2" t="s">
        <v>102</v>
      </c>
      <c r="B3" s="2" t="s">
        <v>103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9</v>
      </c>
      <c r="I3" s="2" t="s">
        <v>109</v>
      </c>
      <c r="J3" s="2" t="s">
        <v>110</v>
      </c>
      <c r="K3" s="2" t="s">
        <v>111</v>
      </c>
      <c r="L3" s="2" t="s">
        <v>112</v>
      </c>
      <c r="M3" s="2" t="s">
        <v>113</v>
      </c>
      <c r="N3" s="2" t="s">
        <v>114</v>
      </c>
      <c r="O3" s="2" t="s">
        <v>115</v>
      </c>
      <c r="P3" s="2" t="s">
        <v>14</v>
      </c>
      <c r="Q3" s="2" t="s">
        <v>116</v>
      </c>
      <c r="R3" s="2" t="s">
        <v>117</v>
      </c>
    </row>
    <row r="4" spans="1:19" ht="40.049999999999997" customHeight="1" x14ac:dyDescent="0.45">
      <c r="A4" s="3" t="s">
        <v>118</v>
      </c>
      <c r="B4" s="3" t="s">
        <v>119</v>
      </c>
      <c r="C4" s="3" t="s">
        <v>120</v>
      </c>
      <c r="D4" s="3" t="s">
        <v>121</v>
      </c>
      <c r="E4" s="3" t="s">
        <v>122</v>
      </c>
      <c r="F4" s="3" t="s">
        <v>123</v>
      </c>
      <c r="G4" s="3" t="s">
        <v>124</v>
      </c>
      <c r="H4" s="3" t="s">
        <v>27</v>
      </c>
      <c r="I4" s="3" t="s">
        <v>20</v>
      </c>
      <c r="J4" s="3" t="s">
        <v>125</v>
      </c>
      <c r="K4" s="3" t="s">
        <v>126</v>
      </c>
      <c r="L4" s="3" t="s">
        <v>127</v>
      </c>
      <c r="M4" s="3" t="s">
        <v>128</v>
      </c>
      <c r="N4" s="3" t="s">
        <v>129</v>
      </c>
      <c r="O4" s="3" t="s">
        <v>130</v>
      </c>
      <c r="P4" s="3" t="s">
        <v>20</v>
      </c>
      <c r="Q4" s="3" t="s">
        <v>131</v>
      </c>
      <c r="R4" s="3" t="s">
        <v>132</v>
      </c>
    </row>
    <row r="5" spans="1:19" ht="40.049999999999997" customHeight="1" x14ac:dyDescent="0.45">
      <c r="A5" s="3" t="s">
        <v>133</v>
      </c>
      <c r="B5" s="3" t="s">
        <v>134</v>
      </c>
      <c r="C5" s="3" t="s">
        <v>135</v>
      </c>
      <c r="D5" s="3" t="s">
        <v>136</v>
      </c>
      <c r="E5" s="3" t="s">
        <v>137</v>
      </c>
      <c r="F5" s="3" t="s">
        <v>138</v>
      </c>
      <c r="G5" s="3" t="s">
        <v>139</v>
      </c>
      <c r="H5" s="3" t="s">
        <v>15</v>
      </c>
      <c r="I5" s="3" t="s">
        <v>20</v>
      </c>
      <c r="J5" s="3" t="s">
        <v>140</v>
      </c>
      <c r="K5" s="3" t="s">
        <v>141</v>
      </c>
      <c r="L5" s="3" t="s">
        <v>142</v>
      </c>
      <c r="M5" s="3" t="s">
        <v>143</v>
      </c>
      <c r="N5" s="3" t="s">
        <v>144</v>
      </c>
      <c r="O5" s="3" t="s">
        <v>145</v>
      </c>
      <c r="P5" s="3" t="s">
        <v>146</v>
      </c>
      <c r="Q5" s="3" t="s">
        <v>147</v>
      </c>
      <c r="R5" s="3" t="s">
        <v>148</v>
      </c>
    </row>
    <row r="6" spans="1:19" ht="40.049999999999997" customHeight="1" x14ac:dyDescent="0.45">
      <c r="A6" s="3" t="s">
        <v>149</v>
      </c>
      <c r="B6" s="3" t="s">
        <v>150</v>
      </c>
      <c r="C6" s="3" t="s">
        <v>135</v>
      </c>
      <c r="D6" s="3" t="s">
        <v>151</v>
      </c>
      <c r="E6" s="3" t="s">
        <v>152</v>
      </c>
      <c r="F6" s="3" t="s">
        <v>153</v>
      </c>
      <c r="G6" s="3" t="s">
        <v>108</v>
      </c>
      <c r="H6" s="3" t="s">
        <v>15</v>
      </c>
      <c r="I6" s="3" t="s">
        <v>20</v>
      </c>
      <c r="J6" s="3" t="s">
        <v>154</v>
      </c>
      <c r="K6" s="3" t="s">
        <v>155</v>
      </c>
      <c r="L6" s="3" t="s">
        <v>156</v>
      </c>
      <c r="M6" s="3" t="s">
        <v>157</v>
      </c>
      <c r="N6" s="3" t="s">
        <v>158</v>
      </c>
      <c r="O6" s="3" t="s">
        <v>159</v>
      </c>
      <c r="P6" s="3" t="s">
        <v>160</v>
      </c>
      <c r="Q6" s="3" t="s">
        <v>108</v>
      </c>
      <c r="R6" s="3" t="s">
        <v>161</v>
      </c>
    </row>
    <row r="7" spans="1:19" ht="40.049999999999997" customHeight="1" x14ac:dyDescent="0.45">
      <c r="A7" s="2" t="s">
        <v>162</v>
      </c>
      <c r="B7" s="2" t="s">
        <v>163</v>
      </c>
      <c r="C7" s="2" t="s">
        <v>164</v>
      </c>
      <c r="D7" s="2" t="s">
        <v>165</v>
      </c>
      <c r="E7" s="2" t="s">
        <v>166</v>
      </c>
      <c r="F7" s="2" t="s">
        <v>167</v>
      </c>
      <c r="G7" s="2" t="s">
        <v>108</v>
      </c>
      <c r="H7" s="2" t="s">
        <v>9</v>
      </c>
      <c r="I7" s="2" t="s">
        <v>109</v>
      </c>
      <c r="J7" s="2" t="s">
        <v>168</v>
      </c>
      <c r="K7" s="2" t="s">
        <v>169</v>
      </c>
      <c r="L7" s="2" t="s">
        <v>170</v>
      </c>
      <c r="M7" s="2" t="s">
        <v>171</v>
      </c>
      <c r="N7" s="2" t="s">
        <v>172</v>
      </c>
      <c r="O7" s="2" t="s">
        <v>173</v>
      </c>
      <c r="P7" s="2" t="s">
        <v>174</v>
      </c>
      <c r="Q7" s="2" t="s">
        <v>175</v>
      </c>
      <c r="R7" s="2" t="s">
        <v>176</v>
      </c>
    </row>
    <row r="8" spans="1:19" ht="40.049999999999997" customHeight="1" x14ac:dyDescent="0.45">
      <c r="A8" s="2" t="s">
        <v>177</v>
      </c>
      <c r="B8" s="2" t="s">
        <v>178</v>
      </c>
      <c r="C8" s="2" t="s">
        <v>179</v>
      </c>
      <c r="D8" s="2" t="s">
        <v>180</v>
      </c>
      <c r="E8" s="2" t="s">
        <v>181</v>
      </c>
      <c r="F8" s="2" t="s">
        <v>182</v>
      </c>
      <c r="G8" s="2" t="s">
        <v>108</v>
      </c>
      <c r="H8" s="2" t="s">
        <v>15</v>
      </c>
      <c r="I8" s="2" t="s">
        <v>109</v>
      </c>
      <c r="J8" s="2" t="s">
        <v>183</v>
      </c>
      <c r="K8" s="2" t="s">
        <v>184</v>
      </c>
      <c r="L8" s="2" t="s">
        <v>185</v>
      </c>
      <c r="M8" s="2" t="s">
        <v>186</v>
      </c>
      <c r="N8" s="2" t="s">
        <v>187</v>
      </c>
      <c r="O8" s="2" t="s">
        <v>188</v>
      </c>
      <c r="P8" s="2" t="s">
        <v>189</v>
      </c>
      <c r="Q8" s="2" t="s">
        <v>190</v>
      </c>
      <c r="R8" s="2" t="s">
        <v>191</v>
      </c>
    </row>
    <row r="9" spans="1:19" ht="40.049999999999997" customHeight="1" x14ac:dyDescent="0.45">
      <c r="A9" s="2" t="s">
        <v>192</v>
      </c>
      <c r="B9" s="2" t="s">
        <v>193</v>
      </c>
      <c r="C9" s="2" t="s">
        <v>194</v>
      </c>
      <c r="D9" s="2" t="s">
        <v>165</v>
      </c>
      <c r="E9" s="2" t="s">
        <v>195</v>
      </c>
      <c r="F9" s="2" t="s">
        <v>167</v>
      </c>
      <c r="G9" s="2" t="s">
        <v>108</v>
      </c>
      <c r="H9" s="2" t="s">
        <v>9</v>
      </c>
      <c r="I9" s="2" t="s">
        <v>109</v>
      </c>
      <c r="J9" s="2" t="s">
        <v>196</v>
      </c>
      <c r="K9" s="2" t="s">
        <v>197</v>
      </c>
      <c r="L9" s="2" t="s">
        <v>198</v>
      </c>
      <c r="M9" s="2" t="s">
        <v>199</v>
      </c>
      <c r="N9" s="2" t="s">
        <v>200</v>
      </c>
      <c r="O9" s="2" t="s">
        <v>201</v>
      </c>
      <c r="P9" s="2" t="s">
        <v>109</v>
      </c>
      <c r="Q9" s="2" t="s">
        <v>108</v>
      </c>
      <c r="R9" s="2" t="s">
        <v>202</v>
      </c>
    </row>
    <row r="10" spans="1:19" ht="40.049999999999997" customHeight="1" x14ac:dyDescent="0.45">
      <c r="A10" s="4" t="s">
        <v>203</v>
      </c>
      <c r="B10" s="4" t="s">
        <v>204</v>
      </c>
      <c r="C10" s="4" t="s">
        <v>205</v>
      </c>
      <c r="D10" s="4" t="s">
        <v>206</v>
      </c>
      <c r="E10" s="4" t="s">
        <v>207</v>
      </c>
      <c r="F10" s="4" t="s">
        <v>208</v>
      </c>
      <c r="G10" s="4" t="s">
        <v>209</v>
      </c>
      <c r="H10" s="4" t="s">
        <v>27</v>
      </c>
      <c r="I10" s="4" t="s">
        <v>210</v>
      </c>
      <c r="J10" s="4" t="s">
        <v>211</v>
      </c>
      <c r="K10" s="4" t="s">
        <v>212</v>
      </c>
      <c r="L10" s="4" t="s">
        <v>213</v>
      </c>
      <c r="M10" s="4" t="s">
        <v>214</v>
      </c>
      <c r="N10" s="4" t="s">
        <v>215</v>
      </c>
      <c r="O10" s="4" t="s">
        <v>216</v>
      </c>
      <c r="P10" s="4" t="s">
        <v>210</v>
      </c>
      <c r="Q10" s="4" t="s">
        <v>217</v>
      </c>
      <c r="R10" s="4" t="s">
        <v>218</v>
      </c>
    </row>
    <row r="11" spans="1:19" ht="40.049999999999997" customHeight="1" x14ac:dyDescent="0.45">
      <c r="A11" s="5" t="s">
        <v>219</v>
      </c>
      <c r="B11" s="5" t="s">
        <v>220</v>
      </c>
      <c r="C11" s="5" t="s">
        <v>221</v>
      </c>
      <c r="D11" s="5" t="s">
        <v>222</v>
      </c>
      <c r="E11" s="5" t="s">
        <v>223</v>
      </c>
      <c r="F11" s="5" t="s">
        <v>224</v>
      </c>
      <c r="G11" s="5" t="s">
        <v>225</v>
      </c>
      <c r="H11" s="5" t="s">
        <v>27</v>
      </c>
      <c r="I11" s="5" t="s">
        <v>32</v>
      </c>
      <c r="J11" s="5" t="s">
        <v>226</v>
      </c>
      <c r="K11" s="5" t="s">
        <v>227</v>
      </c>
      <c r="L11" s="5" t="s">
        <v>228</v>
      </c>
      <c r="M11" s="5" t="s">
        <v>229</v>
      </c>
      <c r="N11" s="5" t="s">
        <v>230</v>
      </c>
      <c r="O11" s="5" t="s">
        <v>231</v>
      </c>
      <c r="P11" s="5" t="s">
        <v>32</v>
      </c>
      <c r="Q11" s="5" t="s">
        <v>232</v>
      </c>
      <c r="R11" s="5" t="s">
        <v>233</v>
      </c>
    </row>
    <row r="12" spans="1:19" ht="40.049999999999997" customHeight="1" x14ac:dyDescent="0.45">
      <c r="A12" s="2" t="s">
        <v>234</v>
      </c>
      <c r="B12" s="2" t="s">
        <v>235</v>
      </c>
      <c r="C12" s="2" t="s">
        <v>236</v>
      </c>
      <c r="D12" s="2" t="s">
        <v>237</v>
      </c>
      <c r="E12" s="2" t="s">
        <v>238</v>
      </c>
      <c r="F12" s="2" t="s">
        <v>239</v>
      </c>
      <c r="G12" s="2" t="s">
        <v>240</v>
      </c>
      <c r="H12" s="2" t="s">
        <v>9</v>
      </c>
      <c r="I12" s="2" t="s">
        <v>109</v>
      </c>
      <c r="J12" s="2" t="s">
        <v>241</v>
      </c>
      <c r="K12" s="2" t="s">
        <v>242</v>
      </c>
      <c r="L12" s="2" t="s">
        <v>243</v>
      </c>
      <c r="M12" s="2" t="s">
        <v>244</v>
      </c>
      <c r="N12" s="2" t="s">
        <v>245</v>
      </c>
      <c r="O12" s="2" t="s">
        <v>246</v>
      </c>
      <c r="P12" s="2" t="s">
        <v>247</v>
      </c>
      <c r="Q12" s="2" t="s">
        <v>248</v>
      </c>
      <c r="R12" s="2" t="s">
        <v>249</v>
      </c>
    </row>
    <row r="13" spans="1:19" ht="40.049999999999997" customHeight="1" x14ac:dyDescent="0.45">
      <c r="A13" s="5" t="s">
        <v>250</v>
      </c>
      <c r="B13" s="5" t="s">
        <v>251</v>
      </c>
      <c r="C13" s="5" t="s">
        <v>252</v>
      </c>
      <c r="D13" s="5" t="s">
        <v>151</v>
      </c>
      <c r="E13" s="5" t="s">
        <v>253</v>
      </c>
      <c r="F13" s="5" t="s">
        <v>153</v>
      </c>
      <c r="G13" s="5" t="s">
        <v>108</v>
      </c>
      <c r="H13" s="5" t="s">
        <v>33</v>
      </c>
      <c r="I13" s="5" t="s">
        <v>254</v>
      </c>
      <c r="J13" s="5" t="s">
        <v>255</v>
      </c>
      <c r="K13" s="5" t="s">
        <v>256</v>
      </c>
      <c r="L13" s="5" t="s">
        <v>257</v>
      </c>
      <c r="M13" s="5" t="s">
        <v>258</v>
      </c>
      <c r="N13" s="5" t="s">
        <v>259</v>
      </c>
      <c r="O13" s="5" t="s">
        <v>260</v>
      </c>
      <c r="P13" s="5" t="s">
        <v>38</v>
      </c>
      <c r="Q13" s="5" t="s">
        <v>261</v>
      </c>
      <c r="R13" s="5" t="s">
        <v>262</v>
      </c>
    </row>
    <row r="14" spans="1:19" ht="40.049999999999997" customHeight="1" x14ac:dyDescent="0.45">
      <c r="A14" s="5" t="s">
        <v>263</v>
      </c>
      <c r="B14" s="5" t="s">
        <v>264</v>
      </c>
      <c r="C14" s="5" t="s">
        <v>265</v>
      </c>
      <c r="D14" s="5" t="s">
        <v>266</v>
      </c>
      <c r="E14" s="5" t="s">
        <v>253</v>
      </c>
      <c r="F14" s="5" t="s">
        <v>138</v>
      </c>
      <c r="G14" s="5" t="s">
        <v>225</v>
      </c>
      <c r="H14" s="5" t="s">
        <v>33</v>
      </c>
      <c r="I14" s="5" t="s">
        <v>254</v>
      </c>
      <c r="J14" s="5" t="s">
        <v>267</v>
      </c>
      <c r="K14" s="5" t="s">
        <v>268</v>
      </c>
      <c r="L14" s="5" t="s">
        <v>269</v>
      </c>
      <c r="M14" s="5" t="s">
        <v>270</v>
      </c>
      <c r="N14" s="5" t="s">
        <v>215</v>
      </c>
      <c r="O14" s="5" t="s">
        <v>271</v>
      </c>
      <c r="P14" s="5" t="s">
        <v>38</v>
      </c>
      <c r="Q14" s="5" t="s">
        <v>272</v>
      </c>
      <c r="R14" s="5" t="s">
        <v>273</v>
      </c>
    </row>
    <row r="15" spans="1:19" ht="40.049999999999997" customHeight="1" x14ac:dyDescent="0.45">
      <c r="A15" s="2" t="s">
        <v>274</v>
      </c>
      <c r="B15" s="2" t="s">
        <v>275</v>
      </c>
      <c r="C15" s="2" t="s">
        <v>276</v>
      </c>
      <c r="D15" s="2" t="s">
        <v>180</v>
      </c>
      <c r="E15" s="2" t="s">
        <v>277</v>
      </c>
      <c r="F15" s="2" t="s">
        <v>182</v>
      </c>
      <c r="G15" s="2" t="s">
        <v>108</v>
      </c>
      <c r="H15" s="2" t="s">
        <v>15</v>
      </c>
      <c r="I15" s="2" t="s">
        <v>109</v>
      </c>
      <c r="J15" s="2" t="s">
        <v>278</v>
      </c>
      <c r="K15" s="2" t="s">
        <v>279</v>
      </c>
      <c r="L15" s="2" t="s">
        <v>280</v>
      </c>
      <c r="M15" s="2" t="s">
        <v>281</v>
      </c>
      <c r="N15" s="2" t="s">
        <v>282</v>
      </c>
      <c r="O15" s="2" t="s">
        <v>283</v>
      </c>
      <c r="P15" s="2" t="s">
        <v>14</v>
      </c>
      <c r="Q15" s="2" t="s">
        <v>108</v>
      </c>
      <c r="R15" s="2" t="s">
        <v>284</v>
      </c>
    </row>
    <row r="16" spans="1:19" ht="40.049999999999997" customHeight="1" x14ac:dyDescent="0.45">
      <c r="A16" s="2" t="s">
        <v>285</v>
      </c>
      <c r="B16" s="2" t="s">
        <v>286</v>
      </c>
      <c r="C16" s="2" t="s">
        <v>287</v>
      </c>
      <c r="D16" s="2" t="s">
        <v>165</v>
      </c>
      <c r="E16" s="2" t="s">
        <v>288</v>
      </c>
      <c r="F16" s="2" t="s">
        <v>167</v>
      </c>
      <c r="G16" s="2" t="s">
        <v>108</v>
      </c>
      <c r="H16" s="2" t="s">
        <v>289</v>
      </c>
      <c r="I16" s="2" t="s">
        <v>109</v>
      </c>
      <c r="J16" s="2" t="s">
        <v>290</v>
      </c>
      <c r="K16" s="2" t="s">
        <v>291</v>
      </c>
      <c r="L16" s="2" t="s">
        <v>112</v>
      </c>
      <c r="M16" s="2" t="s">
        <v>292</v>
      </c>
      <c r="N16" s="2" t="s">
        <v>293</v>
      </c>
      <c r="O16" s="2" t="s">
        <v>283</v>
      </c>
      <c r="P16" s="2" t="s">
        <v>14</v>
      </c>
      <c r="Q16" s="2" t="s">
        <v>108</v>
      </c>
      <c r="R16" s="2" t="s">
        <v>294</v>
      </c>
    </row>
    <row r="17" spans="1:18" ht="40.049999999999997" customHeight="1" x14ac:dyDescent="0.45">
      <c r="A17" s="4" t="s">
        <v>295</v>
      </c>
      <c r="B17" s="4" t="s">
        <v>296</v>
      </c>
      <c r="C17" s="4" t="s">
        <v>297</v>
      </c>
      <c r="D17" s="4" t="s">
        <v>151</v>
      </c>
      <c r="E17" s="4" t="s">
        <v>298</v>
      </c>
      <c r="F17" s="4" t="s">
        <v>153</v>
      </c>
      <c r="G17" s="4" t="s">
        <v>108</v>
      </c>
      <c r="H17" s="4" t="s">
        <v>21</v>
      </c>
      <c r="I17" s="4" t="s">
        <v>210</v>
      </c>
      <c r="J17" s="4" t="s">
        <v>299</v>
      </c>
      <c r="K17" s="4" t="s">
        <v>300</v>
      </c>
      <c r="L17" s="4" t="s">
        <v>301</v>
      </c>
      <c r="M17" s="4" t="s">
        <v>157</v>
      </c>
      <c r="N17" s="4" t="s">
        <v>302</v>
      </c>
      <c r="O17" s="4" t="s">
        <v>303</v>
      </c>
      <c r="P17" s="4" t="s">
        <v>210</v>
      </c>
      <c r="Q17" s="4" t="s">
        <v>304</v>
      </c>
      <c r="R17" s="4" t="s">
        <v>305</v>
      </c>
    </row>
    <row r="18" spans="1:18" ht="40.049999999999997" customHeight="1" x14ac:dyDescent="0.45">
      <c r="A18" s="3" t="s">
        <v>306</v>
      </c>
      <c r="B18" s="3" t="s">
        <v>307</v>
      </c>
      <c r="C18" s="3" t="s">
        <v>308</v>
      </c>
      <c r="D18" s="3" t="s">
        <v>165</v>
      </c>
      <c r="E18" s="3" t="s">
        <v>309</v>
      </c>
      <c r="F18" s="3" t="s">
        <v>167</v>
      </c>
      <c r="G18" s="3" t="s">
        <v>108</v>
      </c>
      <c r="H18" s="3" t="s">
        <v>21</v>
      </c>
      <c r="I18" s="3" t="s">
        <v>20</v>
      </c>
      <c r="J18" s="3" t="s">
        <v>310</v>
      </c>
      <c r="K18" s="3" t="s">
        <v>311</v>
      </c>
      <c r="L18" s="3" t="s">
        <v>312</v>
      </c>
      <c r="M18" s="3" t="s">
        <v>313</v>
      </c>
      <c r="N18" s="3" t="s">
        <v>314</v>
      </c>
      <c r="O18" s="3" t="s">
        <v>303</v>
      </c>
      <c r="P18" s="3" t="s">
        <v>20</v>
      </c>
      <c r="Q18" s="3" t="s">
        <v>315</v>
      </c>
      <c r="R18" s="3" t="s">
        <v>316</v>
      </c>
    </row>
    <row r="19" spans="1:18" ht="40.049999999999997" customHeight="1" x14ac:dyDescent="0.45">
      <c r="A19" s="2" t="s">
        <v>317</v>
      </c>
      <c r="B19" s="2" t="s">
        <v>318</v>
      </c>
      <c r="C19" s="2" t="s">
        <v>319</v>
      </c>
      <c r="D19" s="2" t="s">
        <v>320</v>
      </c>
      <c r="E19" s="2" t="s">
        <v>321</v>
      </c>
      <c r="F19" s="2" t="s">
        <v>322</v>
      </c>
      <c r="G19" s="2" t="s">
        <v>108</v>
      </c>
      <c r="H19" s="2" t="s">
        <v>15</v>
      </c>
      <c r="I19" s="2" t="s">
        <v>109</v>
      </c>
      <c r="J19" s="2" t="s">
        <v>323</v>
      </c>
      <c r="K19" s="2" t="s">
        <v>324</v>
      </c>
      <c r="L19" s="2" t="s">
        <v>325</v>
      </c>
      <c r="M19" s="2" t="s">
        <v>326</v>
      </c>
      <c r="N19" s="2" t="s">
        <v>327</v>
      </c>
      <c r="O19" s="2" t="s">
        <v>283</v>
      </c>
      <c r="P19" s="2" t="s">
        <v>20</v>
      </c>
      <c r="Q19" s="2" t="s">
        <v>108</v>
      </c>
      <c r="R19" s="2" t="s">
        <v>328</v>
      </c>
    </row>
    <row r="20" spans="1:18" ht="40.049999999999997" customHeight="1" x14ac:dyDescent="0.45">
      <c r="A20" s="3" t="s">
        <v>329</v>
      </c>
      <c r="B20" s="3" t="s">
        <v>330</v>
      </c>
      <c r="C20" s="3" t="s">
        <v>331</v>
      </c>
      <c r="D20" s="3" t="s">
        <v>332</v>
      </c>
      <c r="E20" s="3" t="s">
        <v>333</v>
      </c>
      <c r="F20" s="3" t="s">
        <v>334</v>
      </c>
      <c r="G20" s="3" t="s">
        <v>335</v>
      </c>
      <c r="H20" s="3" t="s">
        <v>21</v>
      </c>
      <c r="I20" s="3" t="s">
        <v>20</v>
      </c>
      <c r="J20" s="3" t="s">
        <v>336</v>
      </c>
      <c r="K20" s="3" t="s">
        <v>337</v>
      </c>
      <c r="L20" s="3" t="s">
        <v>338</v>
      </c>
      <c r="M20" s="3" t="s">
        <v>339</v>
      </c>
      <c r="N20" s="3" t="s">
        <v>340</v>
      </c>
      <c r="O20" s="3" t="s">
        <v>283</v>
      </c>
      <c r="P20" s="3" t="s">
        <v>210</v>
      </c>
      <c r="Q20" s="3" t="s">
        <v>341</v>
      </c>
      <c r="R20" s="3" t="s">
        <v>342</v>
      </c>
    </row>
    <row r="21" spans="1:18" ht="40.049999999999997" customHeight="1" x14ac:dyDescent="0.45">
      <c r="A21" s="3" t="s">
        <v>343</v>
      </c>
      <c r="B21" s="3" t="s">
        <v>344</v>
      </c>
      <c r="C21" s="3" t="s">
        <v>345</v>
      </c>
      <c r="D21" s="3" t="s">
        <v>346</v>
      </c>
      <c r="E21" s="3" t="s">
        <v>321</v>
      </c>
      <c r="F21" s="3" t="s">
        <v>347</v>
      </c>
      <c r="G21" s="3" t="s">
        <v>348</v>
      </c>
      <c r="H21" s="3" t="s">
        <v>21</v>
      </c>
      <c r="I21" s="3" t="s">
        <v>20</v>
      </c>
      <c r="J21" s="3" t="s">
        <v>349</v>
      </c>
      <c r="K21" s="3" t="s">
        <v>350</v>
      </c>
      <c r="L21" s="3" t="s">
        <v>351</v>
      </c>
      <c r="M21" s="3" t="s">
        <v>352</v>
      </c>
      <c r="N21" s="3" t="s">
        <v>340</v>
      </c>
      <c r="O21" s="3" t="s">
        <v>283</v>
      </c>
      <c r="P21" s="3" t="s">
        <v>210</v>
      </c>
      <c r="Q21" s="3" t="s">
        <v>353</v>
      </c>
      <c r="R21" s="3" t="s">
        <v>354</v>
      </c>
    </row>
    <row r="22" spans="1:18" ht="40.049999999999997" customHeight="1" x14ac:dyDescent="0.45">
      <c r="A22" s="5" t="s">
        <v>355</v>
      </c>
      <c r="B22" s="5" t="s">
        <v>356</v>
      </c>
      <c r="C22" s="5" t="s">
        <v>357</v>
      </c>
      <c r="D22" s="5" t="s">
        <v>358</v>
      </c>
      <c r="E22" s="5" t="s">
        <v>359</v>
      </c>
      <c r="F22" s="5" t="s">
        <v>360</v>
      </c>
      <c r="G22" s="5" t="s">
        <v>361</v>
      </c>
      <c r="H22" s="5" t="s">
        <v>21</v>
      </c>
      <c r="I22" s="5" t="s">
        <v>32</v>
      </c>
      <c r="J22" s="5" t="s">
        <v>362</v>
      </c>
      <c r="K22" s="5" t="s">
        <v>363</v>
      </c>
      <c r="L22" s="5" t="s">
        <v>364</v>
      </c>
      <c r="M22" s="5" t="s">
        <v>365</v>
      </c>
      <c r="N22" s="5" t="s">
        <v>366</v>
      </c>
      <c r="O22" s="5" t="s">
        <v>303</v>
      </c>
      <c r="P22" s="5" t="s">
        <v>32</v>
      </c>
      <c r="Q22" s="5" t="s">
        <v>341</v>
      </c>
      <c r="R22" s="5" t="s">
        <v>367</v>
      </c>
    </row>
    <row r="23" spans="1:18" ht="40.049999999999997" customHeight="1" x14ac:dyDescent="0.45">
      <c r="A23" s="2" t="s">
        <v>368</v>
      </c>
      <c r="B23" s="2" t="s">
        <v>369</v>
      </c>
      <c r="C23" s="2" t="s">
        <v>370</v>
      </c>
      <c r="D23" s="2" t="s">
        <v>165</v>
      </c>
      <c r="E23" s="2" t="s">
        <v>371</v>
      </c>
      <c r="F23" s="2" t="s">
        <v>167</v>
      </c>
      <c r="G23" s="2" t="s">
        <v>108</v>
      </c>
      <c r="H23" s="2" t="s">
        <v>9</v>
      </c>
      <c r="I23" s="2" t="s">
        <v>109</v>
      </c>
      <c r="J23" s="2" t="s">
        <v>372</v>
      </c>
      <c r="K23" s="2" t="s">
        <v>373</v>
      </c>
      <c r="L23" s="2" t="s">
        <v>374</v>
      </c>
      <c r="M23" s="2" t="s">
        <v>375</v>
      </c>
      <c r="N23" s="2" t="s">
        <v>376</v>
      </c>
      <c r="O23" s="2" t="s">
        <v>377</v>
      </c>
      <c r="P23" s="2" t="s">
        <v>109</v>
      </c>
      <c r="Q23" s="2" t="s">
        <v>378</v>
      </c>
      <c r="R23" s="2" t="s">
        <v>379</v>
      </c>
    </row>
    <row r="24" spans="1:18" ht="40.049999999999997" customHeight="1" x14ac:dyDescent="0.45">
      <c r="A24" s="2" t="s">
        <v>380</v>
      </c>
      <c r="B24" s="2" t="s">
        <v>381</v>
      </c>
      <c r="C24" s="2" t="s">
        <v>382</v>
      </c>
      <c r="D24" s="2" t="s">
        <v>151</v>
      </c>
      <c r="E24" s="2" t="s">
        <v>383</v>
      </c>
      <c r="F24" s="2" t="s">
        <v>153</v>
      </c>
      <c r="G24" s="2" t="s">
        <v>108</v>
      </c>
      <c r="H24" s="2" t="s">
        <v>9</v>
      </c>
      <c r="I24" s="2" t="s">
        <v>109</v>
      </c>
      <c r="J24" s="2" t="s">
        <v>384</v>
      </c>
      <c r="K24" s="2" t="s">
        <v>385</v>
      </c>
      <c r="L24" s="2" t="s">
        <v>386</v>
      </c>
      <c r="M24" s="2" t="s">
        <v>387</v>
      </c>
      <c r="N24" s="2" t="s">
        <v>388</v>
      </c>
      <c r="O24" s="2" t="s">
        <v>188</v>
      </c>
      <c r="P24" s="2" t="s">
        <v>389</v>
      </c>
      <c r="Q24" s="2" t="s">
        <v>390</v>
      </c>
      <c r="R24" s="2" t="s">
        <v>391</v>
      </c>
    </row>
    <row r="25" spans="1:18" ht="40.049999999999997" customHeight="1" x14ac:dyDescent="0.45">
      <c r="A25" s="2" t="s">
        <v>392</v>
      </c>
      <c r="B25" s="2" t="s">
        <v>393</v>
      </c>
      <c r="C25" s="2" t="s">
        <v>394</v>
      </c>
      <c r="D25" s="2" t="s">
        <v>165</v>
      </c>
      <c r="E25" s="2" t="s">
        <v>395</v>
      </c>
      <c r="F25" s="2" t="s">
        <v>167</v>
      </c>
      <c r="G25" s="2" t="s">
        <v>108</v>
      </c>
      <c r="H25" s="2" t="s">
        <v>9</v>
      </c>
      <c r="I25" s="2" t="s">
        <v>109</v>
      </c>
      <c r="J25" s="2" t="s">
        <v>396</v>
      </c>
      <c r="K25" s="2" t="s">
        <v>397</v>
      </c>
      <c r="L25" s="2" t="s">
        <v>398</v>
      </c>
      <c r="M25" s="2" t="s">
        <v>399</v>
      </c>
      <c r="N25" s="2" t="s">
        <v>400</v>
      </c>
      <c r="O25" s="2" t="s">
        <v>201</v>
      </c>
      <c r="P25" s="2" t="s">
        <v>109</v>
      </c>
      <c r="Q25" s="2" t="s">
        <v>108</v>
      </c>
      <c r="R25" s="2" t="s">
        <v>401</v>
      </c>
    </row>
    <row r="26" spans="1:18" ht="40.049999999999997" customHeight="1" x14ac:dyDescent="0.45">
      <c r="A26" s="2" t="s">
        <v>402</v>
      </c>
      <c r="B26" s="2" t="s">
        <v>403</v>
      </c>
      <c r="C26" s="2" t="s">
        <v>179</v>
      </c>
      <c r="D26" s="2" t="s">
        <v>165</v>
      </c>
      <c r="E26" s="2" t="s">
        <v>404</v>
      </c>
      <c r="F26" s="2" t="s">
        <v>167</v>
      </c>
      <c r="G26" s="2" t="s">
        <v>108</v>
      </c>
      <c r="H26" s="2" t="s">
        <v>9</v>
      </c>
      <c r="I26" s="2" t="s">
        <v>109</v>
      </c>
      <c r="J26" s="2" t="s">
        <v>405</v>
      </c>
      <c r="K26" s="2" t="s">
        <v>406</v>
      </c>
      <c r="L26" s="2" t="s">
        <v>185</v>
      </c>
      <c r="M26" s="2" t="s">
        <v>407</v>
      </c>
      <c r="N26" s="2" t="s">
        <v>408</v>
      </c>
      <c r="O26" s="2" t="s">
        <v>409</v>
      </c>
      <c r="P26" s="2" t="s">
        <v>20</v>
      </c>
      <c r="Q26" s="2" t="s">
        <v>108</v>
      </c>
      <c r="R26" s="2" t="s">
        <v>410</v>
      </c>
    </row>
    <row r="27" spans="1:18" ht="40.049999999999997" customHeight="1" x14ac:dyDescent="0.45">
      <c r="A27" s="5" t="s">
        <v>411</v>
      </c>
      <c r="B27" s="5" t="s">
        <v>412</v>
      </c>
      <c r="C27" s="5" t="s">
        <v>413</v>
      </c>
      <c r="D27" s="5" t="s">
        <v>414</v>
      </c>
      <c r="E27" s="5" t="s">
        <v>415</v>
      </c>
      <c r="F27" s="5" t="s">
        <v>416</v>
      </c>
      <c r="G27" s="5" t="s">
        <v>417</v>
      </c>
      <c r="H27" s="5" t="s">
        <v>33</v>
      </c>
      <c r="I27" s="5" t="s">
        <v>32</v>
      </c>
      <c r="J27" s="5" t="s">
        <v>418</v>
      </c>
      <c r="K27" s="5" t="s">
        <v>419</v>
      </c>
      <c r="L27" s="5" t="s">
        <v>420</v>
      </c>
      <c r="M27" s="5" t="s">
        <v>421</v>
      </c>
      <c r="N27" s="5" t="s">
        <v>422</v>
      </c>
      <c r="O27" s="5" t="s">
        <v>423</v>
      </c>
      <c r="P27" s="5" t="s">
        <v>32</v>
      </c>
      <c r="Q27" s="5" t="s">
        <v>424</v>
      </c>
      <c r="R27" s="5" t="s">
        <v>425</v>
      </c>
    </row>
    <row r="28" spans="1:18" ht="40.049999999999997" customHeight="1" x14ac:dyDescent="0.45">
      <c r="A28" s="5" t="s">
        <v>426</v>
      </c>
      <c r="B28" s="5" t="s">
        <v>427</v>
      </c>
      <c r="C28" s="5" t="s">
        <v>413</v>
      </c>
      <c r="D28" s="5" t="s">
        <v>428</v>
      </c>
      <c r="E28" s="5" t="s">
        <v>429</v>
      </c>
      <c r="F28" s="5" t="s">
        <v>430</v>
      </c>
      <c r="G28" s="5" t="s">
        <v>431</v>
      </c>
      <c r="H28" s="5" t="s">
        <v>33</v>
      </c>
      <c r="I28" s="5" t="s">
        <v>32</v>
      </c>
      <c r="J28" s="5" t="s">
        <v>432</v>
      </c>
      <c r="K28" s="5" t="s">
        <v>433</v>
      </c>
      <c r="L28" s="5" t="s">
        <v>434</v>
      </c>
      <c r="M28" s="5" t="s">
        <v>435</v>
      </c>
      <c r="N28" s="5" t="s">
        <v>436</v>
      </c>
      <c r="O28" s="5" t="s">
        <v>423</v>
      </c>
      <c r="P28" s="5" t="s">
        <v>32</v>
      </c>
      <c r="Q28" s="5" t="s">
        <v>437</v>
      </c>
      <c r="R28" s="5" t="s">
        <v>438</v>
      </c>
    </row>
    <row r="29" spans="1:18" ht="40.049999999999997" customHeight="1" x14ac:dyDescent="0.45">
      <c r="A29" s="5" t="s">
        <v>439</v>
      </c>
      <c r="B29" s="5" t="s">
        <v>440</v>
      </c>
      <c r="C29" s="5" t="s">
        <v>441</v>
      </c>
      <c r="D29" s="5" t="s">
        <v>442</v>
      </c>
      <c r="E29" s="5" t="s">
        <v>443</v>
      </c>
      <c r="F29" s="5" t="s">
        <v>444</v>
      </c>
      <c r="G29" s="5" t="s">
        <v>225</v>
      </c>
      <c r="H29" s="5" t="s">
        <v>33</v>
      </c>
      <c r="I29" s="5" t="s">
        <v>32</v>
      </c>
      <c r="J29" s="5" t="s">
        <v>445</v>
      </c>
      <c r="K29" s="5" t="s">
        <v>446</v>
      </c>
      <c r="L29" s="5" t="s">
        <v>447</v>
      </c>
      <c r="M29" s="5" t="s">
        <v>448</v>
      </c>
      <c r="N29" s="5" t="s">
        <v>449</v>
      </c>
      <c r="O29" s="5" t="s">
        <v>450</v>
      </c>
      <c r="P29" s="5" t="s">
        <v>451</v>
      </c>
      <c r="Q29" s="5" t="s">
        <v>452</v>
      </c>
      <c r="R29" s="5" t="s">
        <v>453</v>
      </c>
    </row>
    <row r="30" spans="1:18" ht="40.049999999999997" customHeight="1" x14ac:dyDescent="0.45">
      <c r="A30" s="3" t="s">
        <v>454</v>
      </c>
      <c r="B30" s="3" t="s">
        <v>455</v>
      </c>
      <c r="C30" s="3" t="s">
        <v>456</v>
      </c>
      <c r="D30" s="3" t="s">
        <v>457</v>
      </c>
      <c r="E30" s="3" t="s">
        <v>458</v>
      </c>
      <c r="F30" s="3" t="s">
        <v>459</v>
      </c>
      <c r="G30" s="3" t="s">
        <v>460</v>
      </c>
      <c r="H30" s="3" t="s">
        <v>461</v>
      </c>
      <c r="I30" s="3" t="s">
        <v>20</v>
      </c>
      <c r="J30" s="3" t="s">
        <v>462</v>
      </c>
      <c r="K30" s="3" t="s">
        <v>463</v>
      </c>
      <c r="L30" s="3" t="s">
        <v>464</v>
      </c>
      <c r="M30" s="3" t="s">
        <v>465</v>
      </c>
      <c r="N30" s="3" t="s">
        <v>466</v>
      </c>
      <c r="O30" s="3" t="s">
        <v>467</v>
      </c>
      <c r="P30" s="3" t="s">
        <v>468</v>
      </c>
      <c r="Q30" s="3" t="s">
        <v>469</v>
      </c>
      <c r="R30" s="3" t="s">
        <v>470</v>
      </c>
    </row>
    <row r="31" spans="1:18" ht="40.049999999999997" customHeight="1" x14ac:dyDescent="0.45">
      <c r="A31" s="4" t="s">
        <v>471</v>
      </c>
      <c r="B31" s="4" t="s">
        <v>472</v>
      </c>
      <c r="C31" s="4" t="s">
        <v>473</v>
      </c>
      <c r="D31" s="4" t="s">
        <v>474</v>
      </c>
      <c r="E31" s="4" t="s">
        <v>475</v>
      </c>
      <c r="F31" s="4" t="s">
        <v>476</v>
      </c>
      <c r="G31" s="4" t="s">
        <v>477</v>
      </c>
      <c r="H31" s="4" t="s">
        <v>21</v>
      </c>
      <c r="I31" s="4" t="s">
        <v>210</v>
      </c>
      <c r="J31" s="4" t="s">
        <v>478</v>
      </c>
      <c r="K31" s="4" t="s">
        <v>479</v>
      </c>
      <c r="L31" s="4" t="s">
        <v>480</v>
      </c>
      <c r="M31" s="4" t="s">
        <v>481</v>
      </c>
      <c r="N31" s="4" t="s">
        <v>482</v>
      </c>
      <c r="O31" s="4" t="s">
        <v>483</v>
      </c>
      <c r="P31" s="4" t="s">
        <v>484</v>
      </c>
      <c r="Q31" s="4" t="s">
        <v>485</v>
      </c>
      <c r="R31" s="4" t="s">
        <v>486</v>
      </c>
    </row>
    <row r="32" spans="1:18" ht="40.049999999999997" customHeight="1" x14ac:dyDescent="0.45">
      <c r="A32" s="4" t="s">
        <v>487</v>
      </c>
      <c r="B32" s="4" t="s">
        <v>488</v>
      </c>
      <c r="C32" s="4" t="s">
        <v>489</v>
      </c>
      <c r="D32" s="4" t="s">
        <v>490</v>
      </c>
      <c r="E32" s="4" t="s">
        <v>491</v>
      </c>
      <c r="F32" s="4" t="s">
        <v>492</v>
      </c>
      <c r="G32" s="4" t="s">
        <v>493</v>
      </c>
      <c r="H32" s="4" t="s">
        <v>27</v>
      </c>
      <c r="I32" s="4" t="s">
        <v>210</v>
      </c>
      <c r="J32" s="4" t="s">
        <v>494</v>
      </c>
      <c r="K32" s="4" t="s">
        <v>495</v>
      </c>
      <c r="L32" s="4" t="s">
        <v>496</v>
      </c>
      <c r="M32" s="4" t="s">
        <v>497</v>
      </c>
      <c r="N32" s="4" t="s">
        <v>498</v>
      </c>
      <c r="O32" s="4" t="s">
        <v>499</v>
      </c>
      <c r="P32" s="4" t="s">
        <v>500</v>
      </c>
      <c r="Q32" s="4" t="s">
        <v>501</v>
      </c>
      <c r="R32" s="4" t="s">
        <v>502</v>
      </c>
    </row>
    <row r="33" spans="1:18" ht="40.049999999999997" customHeight="1" x14ac:dyDescent="0.45">
      <c r="A33" s="3" t="s">
        <v>503</v>
      </c>
      <c r="B33" s="3" t="s">
        <v>504</v>
      </c>
      <c r="C33" s="3" t="s">
        <v>505</v>
      </c>
      <c r="D33" s="3" t="s">
        <v>506</v>
      </c>
      <c r="E33" s="3" t="s">
        <v>507</v>
      </c>
      <c r="F33" s="3" t="s">
        <v>508</v>
      </c>
      <c r="G33" s="3" t="s">
        <v>509</v>
      </c>
      <c r="H33" s="3" t="s">
        <v>21</v>
      </c>
      <c r="I33" s="3" t="s">
        <v>20</v>
      </c>
      <c r="J33" s="3" t="s">
        <v>510</v>
      </c>
      <c r="K33" s="3" t="s">
        <v>511</v>
      </c>
      <c r="L33" s="3" t="s">
        <v>512</v>
      </c>
      <c r="M33" s="3" t="s">
        <v>513</v>
      </c>
      <c r="N33" s="3" t="s">
        <v>514</v>
      </c>
      <c r="O33" s="3" t="s">
        <v>515</v>
      </c>
      <c r="P33" s="3" t="s">
        <v>210</v>
      </c>
      <c r="Q33" s="3" t="s">
        <v>516</v>
      </c>
      <c r="R33" s="3" t="s">
        <v>517</v>
      </c>
    </row>
    <row r="34" spans="1:18" ht="40.049999999999997" customHeight="1" x14ac:dyDescent="0.45">
      <c r="A34" s="5" t="s">
        <v>518</v>
      </c>
      <c r="B34" s="5" t="s">
        <v>519</v>
      </c>
      <c r="C34" s="5" t="s">
        <v>520</v>
      </c>
      <c r="D34" s="5" t="s">
        <v>521</v>
      </c>
      <c r="E34" s="5" t="s">
        <v>522</v>
      </c>
      <c r="F34" s="5" t="s">
        <v>523</v>
      </c>
      <c r="G34" s="5" t="s">
        <v>524</v>
      </c>
      <c r="H34" s="5" t="s">
        <v>27</v>
      </c>
      <c r="I34" s="5" t="s">
        <v>32</v>
      </c>
      <c r="J34" s="5" t="s">
        <v>525</v>
      </c>
      <c r="K34" s="5" t="s">
        <v>526</v>
      </c>
      <c r="L34" s="5" t="s">
        <v>527</v>
      </c>
      <c r="M34" s="5" t="s">
        <v>528</v>
      </c>
      <c r="N34" s="5" t="s">
        <v>529</v>
      </c>
      <c r="O34" s="5" t="s">
        <v>530</v>
      </c>
      <c r="P34" s="5" t="s">
        <v>531</v>
      </c>
      <c r="Q34" s="5" t="s">
        <v>532</v>
      </c>
      <c r="R34" s="5" t="s">
        <v>533</v>
      </c>
    </row>
    <row r="35" spans="1:18" ht="40.049999999999997" customHeight="1" x14ac:dyDescent="0.45">
      <c r="A35" s="5" t="s">
        <v>534</v>
      </c>
      <c r="B35" s="5" t="s">
        <v>535</v>
      </c>
      <c r="C35" s="5" t="s">
        <v>536</v>
      </c>
      <c r="D35" s="5" t="s">
        <v>537</v>
      </c>
      <c r="E35" s="5" t="s">
        <v>538</v>
      </c>
      <c r="F35" s="5" t="s">
        <v>459</v>
      </c>
      <c r="G35" s="5" t="s">
        <v>460</v>
      </c>
      <c r="H35" s="5" t="s">
        <v>33</v>
      </c>
      <c r="I35" s="5" t="s">
        <v>32</v>
      </c>
      <c r="J35" s="5" t="s">
        <v>539</v>
      </c>
      <c r="K35" s="5" t="s">
        <v>540</v>
      </c>
      <c r="L35" s="5" t="s">
        <v>541</v>
      </c>
      <c r="M35" s="5" t="s">
        <v>542</v>
      </c>
      <c r="N35" s="5" t="s">
        <v>543</v>
      </c>
      <c r="O35" s="5" t="s">
        <v>544</v>
      </c>
      <c r="P35" s="5" t="s">
        <v>210</v>
      </c>
      <c r="Q35" s="5" t="s">
        <v>545</v>
      </c>
      <c r="R35" s="5" t="s">
        <v>546</v>
      </c>
    </row>
    <row r="36" spans="1:18" ht="40.049999999999997" customHeight="1" x14ac:dyDescent="0.45">
      <c r="A36" s="5" t="s">
        <v>547</v>
      </c>
      <c r="B36" s="5" t="s">
        <v>548</v>
      </c>
      <c r="C36" s="5" t="s">
        <v>549</v>
      </c>
      <c r="D36" s="5" t="s">
        <v>550</v>
      </c>
      <c r="E36" s="5" t="s">
        <v>551</v>
      </c>
      <c r="F36" s="5" t="s">
        <v>552</v>
      </c>
      <c r="G36" s="5" t="s">
        <v>524</v>
      </c>
      <c r="H36" s="5" t="s">
        <v>27</v>
      </c>
      <c r="I36" s="5" t="s">
        <v>32</v>
      </c>
      <c r="J36" s="5" t="s">
        <v>553</v>
      </c>
      <c r="K36" s="5" t="s">
        <v>554</v>
      </c>
      <c r="L36" s="5" t="s">
        <v>555</v>
      </c>
      <c r="M36" s="5" t="s">
        <v>556</v>
      </c>
      <c r="N36" s="5" t="s">
        <v>557</v>
      </c>
      <c r="O36" s="5" t="s">
        <v>271</v>
      </c>
      <c r="P36" s="5" t="s">
        <v>32</v>
      </c>
      <c r="Q36" s="5" t="s">
        <v>558</v>
      </c>
      <c r="R36" s="5" t="s">
        <v>559</v>
      </c>
    </row>
    <row r="37" spans="1:18" ht="40.049999999999997" customHeight="1" x14ac:dyDescent="0.45">
      <c r="A37" s="5" t="s">
        <v>560</v>
      </c>
      <c r="B37" s="5" t="s">
        <v>561</v>
      </c>
      <c r="C37" s="5" t="s">
        <v>562</v>
      </c>
      <c r="D37" s="5" t="s">
        <v>563</v>
      </c>
      <c r="E37" s="5" t="s">
        <v>564</v>
      </c>
      <c r="F37" s="5" t="s">
        <v>565</v>
      </c>
      <c r="G37" s="5" t="s">
        <v>566</v>
      </c>
      <c r="H37" s="5" t="s">
        <v>33</v>
      </c>
      <c r="I37" s="5" t="s">
        <v>32</v>
      </c>
      <c r="J37" s="5" t="s">
        <v>567</v>
      </c>
      <c r="K37" s="5" t="s">
        <v>568</v>
      </c>
      <c r="L37" s="5" t="s">
        <v>569</v>
      </c>
      <c r="M37" s="5" t="s">
        <v>570</v>
      </c>
      <c r="N37" s="5" t="s">
        <v>571</v>
      </c>
      <c r="O37" s="5" t="s">
        <v>572</v>
      </c>
      <c r="P37" s="5" t="s">
        <v>38</v>
      </c>
      <c r="Q37" s="5" t="s">
        <v>558</v>
      </c>
      <c r="R37" s="5" t="s">
        <v>573</v>
      </c>
    </row>
    <row r="38" spans="1:18" ht="40.049999999999997" customHeight="1" x14ac:dyDescent="0.45">
      <c r="A38" s="5" t="s">
        <v>574</v>
      </c>
      <c r="B38" s="5" t="s">
        <v>275</v>
      </c>
      <c r="C38" s="5" t="s">
        <v>575</v>
      </c>
      <c r="D38" s="5" t="s">
        <v>576</v>
      </c>
      <c r="E38" s="5" t="s">
        <v>577</v>
      </c>
      <c r="F38" s="5" t="s">
        <v>578</v>
      </c>
      <c r="G38" s="5" t="s">
        <v>579</v>
      </c>
      <c r="H38" s="5" t="s">
        <v>33</v>
      </c>
      <c r="I38" s="5" t="s">
        <v>32</v>
      </c>
      <c r="J38" s="5" t="s">
        <v>580</v>
      </c>
      <c r="K38" s="5" t="s">
        <v>581</v>
      </c>
      <c r="L38" s="5" t="s">
        <v>582</v>
      </c>
      <c r="M38" s="5" t="s">
        <v>270</v>
      </c>
      <c r="N38" s="5" t="s">
        <v>583</v>
      </c>
      <c r="O38" s="5" t="s">
        <v>584</v>
      </c>
      <c r="P38" s="5" t="s">
        <v>38</v>
      </c>
      <c r="Q38" s="5" t="s">
        <v>585</v>
      </c>
      <c r="R38" s="5" t="s">
        <v>586</v>
      </c>
    </row>
    <row r="39" spans="1:18" ht="40.049999999999997" customHeight="1" x14ac:dyDescent="0.45">
      <c r="A39" s="4" t="s">
        <v>587</v>
      </c>
      <c r="B39" s="4" t="s">
        <v>588</v>
      </c>
      <c r="C39" s="4" t="s">
        <v>589</v>
      </c>
      <c r="D39" s="4" t="s">
        <v>121</v>
      </c>
      <c r="E39" s="4" t="s">
        <v>590</v>
      </c>
      <c r="F39" s="4" t="s">
        <v>123</v>
      </c>
      <c r="G39" s="4" t="s">
        <v>124</v>
      </c>
      <c r="H39" s="4" t="s">
        <v>27</v>
      </c>
      <c r="I39" s="4" t="s">
        <v>210</v>
      </c>
      <c r="J39" s="4" t="s">
        <v>591</v>
      </c>
      <c r="K39" s="4" t="s">
        <v>592</v>
      </c>
      <c r="L39" s="4" t="s">
        <v>593</v>
      </c>
      <c r="M39" s="4" t="s">
        <v>594</v>
      </c>
      <c r="N39" s="4" t="s">
        <v>129</v>
      </c>
      <c r="O39" s="4" t="s">
        <v>595</v>
      </c>
      <c r="P39" s="4" t="s">
        <v>596</v>
      </c>
      <c r="Q39" s="4" t="s">
        <v>597</v>
      </c>
      <c r="R39" s="4" t="s">
        <v>598</v>
      </c>
    </row>
    <row r="40" spans="1:18" ht="40.049999999999997" customHeight="1" x14ac:dyDescent="0.45">
      <c r="A40" s="2" t="s">
        <v>599</v>
      </c>
      <c r="B40" s="2" t="s">
        <v>600</v>
      </c>
      <c r="C40" s="2" t="s">
        <v>601</v>
      </c>
      <c r="D40" s="2" t="s">
        <v>165</v>
      </c>
      <c r="E40" s="2" t="s">
        <v>602</v>
      </c>
      <c r="F40" s="2" t="s">
        <v>167</v>
      </c>
      <c r="G40" s="2" t="s">
        <v>108</v>
      </c>
      <c r="H40" s="2" t="s">
        <v>9</v>
      </c>
      <c r="I40" s="2" t="s">
        <v>109</v>
      </c>
      <c r="J40" s="2" t="s">
        <v>603</v>
      </c>
      <c r="K40" s="2" t="s">
        <v>604</v>
      </c>
      <c r="L40" s="2" t="s">
        <v>605</v>
      </c>
      <c r="M40" s="2" t="s">
        <v>399</v>
      </c>
      <c r="N40" s="2" t="s">
        <v>606</v>
      </c>
      <c r="O40" s="2" t="s">
        <v>201</v>
      </c>
      <c r="P40" s="2" t="s">
        <v>109</v>
      </c>
      <c r="Q40" s="2" t="s">
        <v>607</v>
      </c>
      <c r="R40" s="2" t="s">
        <v>608</v>
      </c>
    </row>
    <row r="41" spans="1:18" ht="40.049999999999997" customHeight="1" x14ac:dyDescent="0.45">
      <c r="A41" s="2" t="s">
        <v>609</v>
      </c>
      <c r="B41" s="2" t="s">
        <v>610</v>
      </c>
      <c r="C41" s="2" t="s">
        <v>611</v>
      </c>
      <c r="D41" s="2" t="s">
        <v>612</v>
      </c>
      <c r="E41" s="2" t="s">
        <v>613</v>
      </c>
      <c r="F41" s="2" t="s">
        <v>167</v>
      </c>
      <c r="G41" s="2" t="s">
        <v>108</v>
      </c>
      <c r="H41" s="2" t="s">
        <v>9</v>
      </c>
      <c r="I41" s="2" t="s">
        <v>109</v>
      </c>
      <c r="J41" s="2" t="s">
        <v>614</v>
      </c>
      <c r="K41" s="2" t="s">
        <v>615</v>
      </c>
      <c r="L41" s="2" t="s">
        <v>605</v>
      </c>
      <c r="M41" s="2" t="s">
        <v>399</v>
      </c>
      <c r="N41" s="2" t="s">
        <v>606</v>
      </c>
      <c r="O41" s="2" t="s">
        <v>201</v>
      </c>
      <c r="P41" s="2" t="s">
        <v>109</v>
      </c>
      <c r="Q41" s="2" t="s">
        <v>108</v>
      </c>
      <c r="R41" s="2" t="s">
        <v>616</v>
      </c>
    </row>
    <row r="42" spans="1:18" ht="40.049999999999997" customHeight="1" x14ac:dyDescent="0.45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21</v>
      </c>
      <c r="I42" s="4" t="s">
        <v>210</v>
      </c>
      <c r="J42" s="4" t="s">
        <v>624</v>
      </c>
      <c r="K42" s="4" t="s">
        <v>625</v>
      </c>
      <c r="L42" s="4" t="s">
        <v>626</v>
      </c>
      <c r="M42" s="4" t="s">
        <v>627</v>
      </c>
      <c r="N42" s="4" t="s">
        <v>628</v>
      </c>
      <c r="O42" s="4" t="s">
        <v>629</v>
      </c>
      <c r="P42" s="4" t="s">
        <v>630</v>
      </c>
      <c r="Q42" s="4" t="s">
        <v>631</v>
      </c>
      <c r="R42" s="4" t="s">
        <v>632</v>
      </c>
    </row>
    <row r="43" spans="1:18" ht="40.049999999999997" customHeight="1" x14ac:dyDescent="0.45">
      <c r="A43" s="4" t="s">
        <v>633</v>
      </c>
      <c r="B43" s="4" t="s">
        <v>634</v>
      </c>
      <c r="C43" s="4" t="s">
        <v>619</v>
      </c>
      <c r="D43" s="4" t="s">
        <v>620</v>
      </c>
      <c r="E43" s="4" t="s">
        <v>635</v>
      </c>
      <c r="F43" s="4" t="s">
        <v>622</v>
      </c>
      <c r="G43" s="4" t="s">
        <v>636</v>
      </c>
      <c r="H43" s="4" t="s">
        <v>21</v>
      </c>
      <c r="I43" s="4" t="s">
        <v>210</v>
      </c>
      <c r="J43" s="4" t="s">
        <v>637</v>
      </c>
      <c r="K43" s="4" t="s">
        <v>638</v>
      </c>
      <c r="L43" s="4" t="s">
        <v>639</v>
      </c>
      <c r="M43" s="4" t="s">
        <v>640</v>
      </c>
      <c r="N43" s="4" t="s">
        <v>641</v>
      </c>
      <c r="O43" s="4" t="s">
        <v>642</v>
      </c>
      <c r="P43" s="4" t="s">
        <v>630</v>
      </c>
      <c r="Q43" s="4" t="s">
        <v>643</v>
      </c>
      <c r="R43" s="4" t="s">
        <v>644</v>
      </c>
    </row>
    <row r="44" spans="1:18" ht="40.049999999999997" customHeight="1" x14ac:dyDescent="0.45">
      <c r="A44" s="6" t="s">
        <v>645</v>
      </c>
      <c r="B44" s="6" t="s">
        <v>646</v>
      </c>
      <c r="C44" s="6" t="s">
        <v>647</v>
      </c>
      <c r="D44" s="6" t="s">
        <v>648</v>
      </c>
      <c r="E44" s="6" t="s">
        <v>649</v>
      </c>
      <c r="F44" s="6" t="s">
        <v>650</v>
      </c>
      <c r="G44" s="6" t="s">
        <v>108</v>
      </c>
      <c r="H44" s="6" t="s">
        <v>651</v>
      </c>
      <c r="I44" s="6" t="s">
        <v>652</v>
      </c>
      <c r="J44" s="6" t="s">
        <v>653</v>
      </c>
      <c r="K44" s="6" t="s">
        <v>654</v>
      </c>
      <c r="L44" s="6" t="s">
        <v>655</v>
      </c>
      <c r="M44" s="6" t="s">
        <v>656</v>
      </c>
      <c r="N44" s="6" t="s">
        <v>657</v>
      </c>
      <c r="O44" s="6" t="s">
        <v>658</v>
      </c>
      <c r="P44" s="6" t="s">
        <v>32</v>
      </c>
      <c r="Q44" s="6" t="s">
        <v>108</v>
      </c>
      <c r="R44" s="6" t="s">
        <v>659</v>
      </c>
    </row>
    <row r="45" spans="1:18" ht="40.049999999999997" customHeight="1" x14ac:dyDescent="0.45">
      <c r="A45" s="2" t="s">
        <v>660</v>
      </c>
      <c r="B45" s="2" t="s">
        <v>661</v>
      </c>
      <c r="C45" s="2" t="s">
        <v>662</v>
      </c>
      <c r="D45" s="2" t="s">
        <v>442</v>
      </c>
      <c r="E45" s="2" t="s">
        <v>663</v>
      </c>
      <c r="F45" s="2" t="s">
        <v>444</v>
      </c>
      <c r="G45" s="2" t="s">
        <v>225</v>
      </c>
      <c r="H45" s="2" t="s">
        <v>9</v>
      </c>
      <c r="I45" s="2" t="s">
        <v>109</v>
      </c>
      <c r="J45" s="2" t="s">
        <v>664</v>
      </c>
      <c r="K45" s="2" t="s">
        <v>665</v>
      </c>
      <c r="L45" s="2" t="s">
        <v>666</v>
      </c>
      <c r="M45" s="2" t="s">
        <v>667</v>
      </c>
      <c r="N45" s="2" t="s">
        <v>668</v>
      </c>
      <c r="O45" s="2" t="s">
        <v>669</v>
      </c>
      <c r="P45" s="2" t="s">
        <v>670</v>
      </c>
      <c r="Q45" s="2" t="s">
        <v>671</v>
      </c>
      <c r="R45" s="2" t="s">
        <v>672</v>
      </c>
    </row>
    <row r="46" spans="1:18" ht="40.049999999999997" customHeight="1" x14ac:dyDescent="0.45">
      <c r="A46" s="2" t="s">
        <v>673</v>
      </c>
      <c r="B46" s="2" t="s">
        <v>674</v>
      </c>
      <c r="C46" s="2" t="s">
        <v>675</v>
      </c>
      <c r="D46" s="2" t="s">
        <v>442</v>
      </c>
      <c r="E46" s="2" t="s">
        <v>676</v>
      </c>
      <c r="F46" s="2" t="s">
        <v>444</v>
      </c>
      <c r="G46" s="2" t="s">
        <v>225</v>
      </c>
      <c r="H46" s="2" t="s">
        <v>9</v>
      </c>
      <c r="I46" s="2" t="s">
        <v>109</v>
      </c>
      <c r="J46" s="2" t="s">
        <v>677</v>
      </c>
      <c r="K46" s="2" t="s">
        <v>678</v>
      </c>
      <c r="L46" s="2" t="s">
        <v>679</v>
      </c>
      <c r="M46" s="2" t="s">
        <v>680</v>
      </c>
      <c r="N46" s="2" t="s">
        <v>681</v>
      </c>
      <c r="O46" s="2" t="s">
        <v>450</v>
      </c>
      <c r="P46" s="2" t="s">
        <v>682</v>
      </c>
      <c r="Q46" s="2" t="s">
        <v>683</v>
      </c>
      <c r="R46" s="2" t="s">
        <v>684</v>
      </c>
    </row>
    <row r="47" spans="1:18" ht="40.049999999999997" customHeight="1" x14ac:dyDescent="0.45">
      <c r="A47" s="3" t="s">
        <v>685</v>
      </c>
      <c r="B47" s="3" t="s">
        <v>686</v>
      </c>
      <c r="C47" s="3" t="s">
        <v>687</v>
      </c>
      <c r="D47" s="3" t="s">
        <v>688</v>
      </c>
      <c r="E47" s="3" t="s">
        <v>689</v>
      </c>
      <c r="F47" s="3" t="s">
        <v>690</v>
      </c>
      <c r="G47" s="3" t="s">
        <v>691</v>
      </c>
      <c r="H47" s="3" t="s">
        <v>692</v>
      </c>
      <c r="I47" s="3" t="s">
        <v>693</v>
      </c>
      <c r="J47" s="3" t="s">
        <v>694</v>
      </c>
      <c r="K47" s="3" t="s">
        <v>695</v>
      </c>
      <c r="L47" s="3" t="s">
        <v>696</v>
      </c>
      <c r="M47" s="3" t="s">
        <v>697</v>
      </c>
      <c r="N47" s="3" t="s">
        <v>698</v>
      </c>
      <c r="O47" s="3" t="s">
        <v>699</v>
      </c>
      <c r="P47" s="3" t="s">
        <v>700</v>
      </c>
      <c r="Q47" s="3" t="s">
        <v>701</v>
      </c>
      <c r="R47" s="3" t="s">
        <v>702</v>
      </c>
    </row>
    <row r="48" spans="1:18" ht="40.049999999999997" customHeight="1" x14ac:dyDescent="0.45">
      <c r="A48" s="7" t="s">
        <v>703</v>
      </c>
      <c r="B48" s="7" t="s">
        <v>704</v>
      </c>
      <c r="C48" s="7" t="s">
        <v>705</v>
      </c>
      <c r="D48" s="7" t="s">
        <v>688</v>
      </c>
      <c r="E48" s="7" t="s">
        <v>706</v>
      </c>
      <c r="F48" s="7" t="s">
        <v>690</v>
      </c>
      <c r="G48" s="7" t="s">
        <v>225</v>
      </c>
      <c r="H48" s="7" t="s">
        <v>707</v>
      </c>
      <c r="I48" s="7" t="s">
        <v>708</v>
      </c>
      <c r="J48" s="7" t="s">
        <v>709</v>
      </c>
      <c r="K48" s="7" t="s">
        <v>710</v>
      </c>
      <c r="L48" s="7" t="s">
        <v>711</v>
      </c>
      <c r="M48" s="7" t="s">
        <v>712</v>
      </c>
      <c r="N48" s="7" t="s">
        <v>713</v>
      </c>
      <c r="O48" s="7" t="s">
        <v>714</v>
      </c>
      <c r="P48" s="7" t="s">
        <v>715</v>
      </c>
      <c r="Q48" s="7" t="s">
        <v>716</v>
      </c>
      <c r="R48" s="7" t="s">
        <v>717</v>
      </c>
    </row>
    <row r="49" spans="1:18" ht="40.049999999999997" customHeight="1" x14ac:dyDescent="0.45">
      <c r="A49" s="5" t="s">
        <v>718</v>
      </c>
      <c r="B49" s="5" t="s">
        <v>719</v>
      </c>
      <c r="C49" s="5" t="s">
        <v>720</v>
      </c>
      <c r="D49" s="5" t="s">
        <v>688</v>
      </c>
      <c r="E49" s="5" t="s">
        <v>721</v>
      </c>
      <c r="F49" s="5" t="s">
        <v>690</v>
      </c>
      <c r="G49" s="5" t="s">
        <v>225</v>
      </c>
      <c r="H49" s="5" t="s">
        <v>722</v>
      </c>
      <c r="I49" s="5" t="s">
        <v>32</v>
      </c>
      <c r="J49" s="5" t="s">
        <v>723</v>
      </c>
      <c r="K49" s="5" t="s">
        <v>724</v>
      </c>
      <c r="L49" s="5" t="s">
        <v>725</v>
      </c>
      <c r="M49" s="5" t="s">
        <v>726</v>
      </c>
      <c r="N49" s="5" t="s">
        <v>727</v>
      </c>
      <c r="O49" s="5" t="s">
        <v>728</v>
      </c>
      <c r="P49" s="5" t="s">
        <v>729</v>
      </c>
      <c r="Q49" s="5" t="s">
        <v>730</v>
      </c>
      <c r="R49" s="5" t="s">
        <v>731</v>
      </c>
    </row>
    <row r="50" spans="1:18" ht="40.049999999999997" customHeight="1" x14ac:dyDescent="0.45">
      <c r="A50" s="5" t="s">
        <v>732</v>
      </c>
      <c r="B50" s="5" t="s">
        <v>733</v>
      </c>
      <c r="C50" s="5" t="s">
        <v>720</v>
      </c>
      <c r="D50" s="5" t="s">
        <v>688</v>
      </c>
      <c r="E50" s="5" t="s">
        <v>734</v>
      </c>
      <c r="F50" s="5" t="s">
        <v>690</v>
      </c>
      <c r="G50" s="5" t="s">
        <v>225</v>
      </c>
      <c r="H50" s="5" t="s">
        <v>735</v>
      </c>
      <c r="I50" s="5" t="s">
        <v>32</v>
      </c>
      <c r="J50" s="5" t="s">
        <v>736</v>
      </c>
      <c r="K50" s="5" t="s">
        <v>737</v>
      </c>
      <c r="L50" s="5" t="s">
        <v>738</v>
      </c>
      <c r="M50" s="5" t="s">
        <v>739</v>
      </c>
      <c r="N50" s="5" t="s">
        <v>728</v>
      </c>
      <c r="O50" s="5" t="s">
        <v>728</v>
      </c>
      <c r="P50" s="5" t="s">
        <v>729</v>
      </c>
      <c r="Q50" s="5" t="s">
        <v>225</v>
      </c>
      <c r="R50" s="5" t="s">
        <v>740</v>
      </c>
    </row>
    <row r="51" spans="1:18" ht="40.049999999999997" customHeight="1" x14ac:dyDescent="0.45">
      <c r="A51" s="6" t="s">
        <v>741</v>
      </c>
      <c r="B51" s="6" t="s">
        <v>742</v>
      </c>
      <c r="C51" s="6" t="s">
        <v>743</v>
      </c>
      <c r="D51" s="6" t="s">
        <v>457</v>
      </c>
      <c r="E51" s="6" t="s">
        <v>744</v>
      </c>
      <c r="F51" s="6" t="s">
        <v>459</v>
      </c>
      <c r="G51" s="6" t="s">
        <v>745</v>
      </c>
      <c r="H51" s="6" t="s">
        <v>33</v>
      </c>
      <c r="I51" s="6" t="s">
        <v>652</v>
      </c>
      <c r="J51" s="6" t="s">
        <v>746</v>
      </c>
      <c r="K51" s="6" t="s">
        <v>747</v>
      </c>
      <c r="L51" s="6" t="s">
        <v>748</v>
      </c>
      <c r="M51" s="6" t="s">
        <v>749</v>
      </c>
      <c r="N51" s="6" t="s">
        <v>750</v>
      </c>
      <c r="O51" s="6" t="s">
        <v>751</v>
      </c>
      <c r="P51" s="6" t="s">
        <v>752</v>
      </c>
      <c r="Q51" s="6" t="s">
        <v>753</v>
      </c>
      <c r="R51" s="6" t="s">
        <v>754</v>
      </c>
    </row>
    <row r="52" spans="1:18" ht="40.049999999999997" customHeight="1" x14ac:dyDescent="0.45">
      <c r="A52" s="5" t="s">
        <v>755</v>
      </c>
      <c r="B52" s="5" t="s">
        <v>756</v>
      </c>
      <c r="C52" s="5" t="s">
        <v>757</v>
      </c>
      <c r="D52" s="5" t="s">
        <v>758</v>
      </c>
      <c r="E52" s="5" t="s">
        <v>759</v>
      </c>
      <c r="F52" s="5" t="s">
        <v>239</v>
      </c>
      <c r="G52" s="5" t="s">
        <v>209</v>
      </c>
      <c r="H52" s="5" t="s">
        <v>33</v>
      </c>
      <c r="I52" s="5" t="s">
        <v>32</v>
      </c>
      <c r="J52" s="5" t="s">
        <v>760</v>
      </c>
      <c r="K52" s="5" t="s">
        <v>761</v>
      </c>
      <c r="L52" s="5" t="s">
        <v>762</v>
      </c>
      <c r="M52" s="5" t="s">
        <v>763</v>
      </c>
      <c r="N52" s="5" t="s">
        <v>215</v>
      </c>
      <c r="O52" s="5" t="s">
        <v>764</v>
      </c>
      <c r="P52" s="5" t="s">
        <v>38</v>
      </c>
      <c r="Q52" s="5" t="s">
        <v>558</v>
      </c>
      <c r="R52" s="5" t="s">
        <v>765</v>
      </c>
    </row>
    <row r="53" spans="1:18" ht="40.049999999999997" customHeight="1" x14ac:dyDescent="0.45">
      <c r="A53" s="5" t="s">
        <v>766</v>
      </c>
      <c r="B53" s="5" t="s">
        <v>767</v>
      </c>
      <c r="C53" s="5" t="s">
        <v>757</v>
      </c>
      <c r="D53" s="5" t="s">
        <v>768</v>
      </c>
      <c r="E53" s="5" t="s">
        <v>769</v>
      </c>
      <c r="F53" s="5" t="s">
        <v>770</v>
      </c>
      <c r="G53" s="5" t="s">
        <v>225</v>
      </c>
      <c r="H53" s="5" t="s">
        <v>33</v>
      </c>
      <c r="I53" s="5" t="s">
        <v>771</v>
      </c>
      <c r="J53" s="5" t="s">
        <v>445</v>
      </c>
      <c r="K53" s="5" t="s">
        <v>772</v>
      </c>
      <c r="L53" s="5" t="s">
        <v>773</v>
      </c>
      <c r="M53" s="5" t="s">
        <v>774</v>
      </c>
      <c r="N53" s="5" t="s">
        <v>775</v>
      </c>
      <c r="O53" s="5" t="s">
        <v>776</v>
      </c>
      <c r="P53" s="5" t="s">
        <v>32</v>
      </c>
      <c r="Q53" s="5" t="s">
        <v>777</v>
      </c>
      <c r="R53" s="5" t="s">
        <v>778</v>
      </c>
    </row>
    <row r="54" spans="1:18" ht="40.049999999999997" customHeight="1" x14ac:dyDescent="0.45">
      <c r="A54" s="5" t="s">
        <v>779</v>
      </c>
      <c r="B54" s="5" t="s">
        <v>780</v>
      </c>
      <c r="C54" s="5" t="s">
        <v>781</v>
      </c>
      <c r="D54" s="5" t="s">
        <v>442</v>
      </c>
      <c r="E54" s="5" t="s">
        <v>782</v>
      </c>
      <c r="F54" s="5" t="s">
        <v>444</v>
      </c>
      <c r="G54" s="5" t="s">
        <v>225</v>
      </c>
      <c r="H54" s="5" t="s">
        <v>33</v>
      </c>
      <c r="I54" s="5" t="s">
        <v>32</v>
      </c>
      <c r="J54" s="5" t="s">
        <v>783</v>
      </c>
      <c r="K54" s="5" t="s">
        <v>784</v>
      </c>
      <c r="L54" s="5" t="s">
        <v>785</v>
      </c>
      <c r="M54" s="5" t="s">
        <v>786</v>
      </c>
      <c r="N54" s="5" t="s">
        <v>787</v>
      </c>
      <c r="O54" s="5" t="s">
        <v>788</v>
      </c>
      <c r="P54" s="5" t="s">
        <v>451</v>
      </c>
      <c r="Q54" s="5" t="s">
        <v>789</v>
      </c>
      <c r="R54" s="5" t="s">
        <v>790</v>
      </c>
    </row>
    <row r="55" spans="1:18" ht="40.049999999999997" customHeight="1" x14ac:dyDescent="0.45">
      <c r="A55" s="5" t="s">
        <v>791</v>
      </c>
      <c r="B55" s="5" t="s">
        <v>792</v>
      </c>
      <c r="C55" s="5" t="s">
        <v>793</v>
      </c>
      <c r="D55" s="5" t="s">
        <v>563</v>
      </c>
      <c r="E55" s="5" t="s">
        <v>794</v>
      </c>
      <c r="F55" s="5" t="s">
        <v>565</v>
      </c>
      <c r="G55" s="5" t="s">
        <v>795</v>
      </c>
      <c r="H55" s="5" t="s">
        <v>33</v>
      </c>
      <c r="I55" s="5" t="s">
        <v>32</v>
      </c>
      <c r="J55" s="5" t="s">
        <v>567</v>
      </c>
      <c r="K55" s="5" t="s">
        <v>796</v>
      </c>
      <c r="L55" s="5" t="s">
        <v>797</v>
      </c>
      <c r="M55" s="5" t="s">
        <v>798</v>
      </c>
      <c r="N55" s="5" t="s">
        <v>799</v>
      </c>
      <c r="O55" s="5" t="s">
        <v>800</v>
      </c>
      <c r="P55" s="5" t="s">
        <v>38</v>
      </c>
      <c r="Q55" s="5" t="s">
        <v>801</v>
      </c>
      <c r="R55" s="5" t="s">
        <v>802</v>
      </c>
    </row>
    <row r="56" spans="1:18" ht="40.049999999999997" customHeight="1" x14ac:dyDescent="0.45">
      <c r="A56" s="5" t="s">
        <v>803</v>
      </c>
      <c r="B56" s="5" t="s">
        <v>804</v>
      </c>
      <c r="C56" s="5" t="s">
        <v>805</v>
      </c>
      <c r="D56" s="5" t="s">
        <v>806</v>
      </c>
      <c r="E56" s="5" t="s">
        <v>807</v>
      </c>
      <c r="F56" s="5" t="s">
        <v>808</v>
      </c>
      <c r="G56" s="5" t="s">
        <v>524</v>
      </c>
      <c r="H56" s="5" t="s">
        <v>33</v>
      </c>
      <c r="I56" s="5" t="s">
        <v>32</v>
      </c>
      <c r="J56" s="5" t="s">
        <v>760</v>
      </c>
      <c r="K56" s="5" t="s">
        <v>809</v>
      </c>
      <c r="L56" s="5" t="s">
        <v>810</v>
      </c>
      <c r="M56" s="5" t="s">
        <v>811</v>
      </c>
      <c r="N56" s="5" t="s">
        <v>812</v>
      </c>
      <c r="O56" s="5" t="s">
        <v>813</v>
      </c>
      <c r="P56" s="5" t="s">
        <v>38</v>
      </c>
      <c r="Q56" s="5" t="s">
        <v>558</v>
      </c>
      <c r="R56" s="5" t="s">
        <v>814</v>
      </c>
    </row>
    <row r="57" spans="1:18" ht="40.049999999999997" customHeight="1" x14ac:dyDescent="0.45">
      <c r="A57" s="3" t="s">
        <v>815</v>
      </c>
      <c r="B57" s="3" t="s">
        <v>816</v>
      </c>
      <c r="C57" s="3" t="s">
        <v>817</v>
      </c>
      <c r="D57" s="3" t="s">
        <v>818</v>
      </c>
      <c r="E57" s="3" t="s">
        <v>819</v>
      </c>
      <c r="F57" s="3" t="s">
        <v>820</v>
      </c>
      <c r="G57" s="3" t="s">
        <v>821</v>
      </c>
      <c r="H57" s="3" t="s">
        <v>33</v>
      </c>
      <c r="I57" s="3" t="s">
        <v>822</v>
      </c>
      <c r="J57" s="3" t="s">
        <v>823</v>
      </c>
      <c r="K57" s="3" t="s">
        <v>824</v>
      </c>
      <c r="L57" s="3" t="s">
        <v>825</v>
      </c>
      <c r="M57" s="3" t="s">
        <v>826</v>
      </c>
      <c r="N57" s="3" t="s">
        <v>827</v>
      </c>
      <c r="O57" s="3" t="s">
        <v>828</v>
      </c>
      <c r="P57" s="3" t="s">
        <v>829</v>
      </c>
      <c r="Q57" s="3" t="s">
        <v>830</v>
      </c>
      <c r="R57" s="3" t="s">
        <v>831</v>
      </c>
    </row>
    <row r="58" spans="1:18" ht="40.049999999999997" customHeight="1" x14ac:dyDescent="0.45">
      <c r="A58" s="3" t="s">
        <v>832</v>
      </c>
      <c r="B58" s="3" t="s">
        <v>833</v>
      </c>
      <c r="C58" s="3" t="s">
        <v>834</v>
      </c>
      <c r="D58" s="3" t="s">
        <v>835</v>
      </c>
      <c r="E58" s="3" t="s">
        <v>836</v>
      </c>
      <c r="F58" s="3" t="s">
        <v>820</v>
      </c>
      <c r="G58" s="3" t="s">
        <v>837</v>
      </c>
      <c r="H58" s="3" t="s">
        <v>33</v>
      </c>
      <c r="I58" s="3" t="s">
        <v>838</v>
      </c>
      <c r="J58" s="3" t="s">
        <v>839</v>
      </c>
      <c r="K58" s="3" t="s">
        <v>840</v>
      </c>
      <c r="L58" s="3" t="s">
        <v>841</v>
      </c>
      <c r="M58" s="3" t="s">
        <v>842</v>
      </c>
      <c r="N58" s="3" t="s">
        <v>843</v>
      </c>
      <c r="O58" s="3" t="s">
        <v>844</v>
      </c>
      <c r="P58" s="3" t="s">
        <v>32</v>
      </c>
      <c r="Q58" s="3" t="s">
        <v>845</v>
      </c>
      <c r="R58" s="3" t="s">
        <v>846</v>
      </c>
    </row>
    <row r="59" spans="1:18" ht="40.049999999999997" customHeight="1" x14ac:dyDescent="0.45">
      <c r="A59" s="4" t="s">
        <v>847</v>
      </c>
      <c r="B59" s="4" t="s">
        <v>848</v>
      </c>
      <c r="C59" s="4" t="s">
        <v>849</v>
      </c>
      <c r="D59" s="4" t="s">
        <v>850</v>
      </c>
      <c r="E59" s="4" t="s">
        <v>851</v>
      </c>
      <c r="F59" s="4" t="s">
        <v>852</v>
      </c>
      <c r="G59" s="4" t="s">
        <v>853</v>
      </c>
      <c r="H59" s="4" t="s">
        <v>21</v>
      </c>
      <c r="I59" s="4" t="s">
        <v>210</v>
      </c>
      <c r="J59" s="4" t="s">
        <v>854</v>
      </c>
      <c r="K59" s="4" t="s">
        <v>855</v>
      </c>
      <c r="L59" s="4" t="s">
        <v>856</v>
      </c>
      <c r="M59" s="4" t="s">
        <v>857</v>
      </c>
      <c r="N59" s="4" t="s">
        <v>858</v>
      </c>
      <c r="O59" s="4" t="s">
        <v>859</v>
      </c>
      <c r="P59" s="4" t="s">
        <v>860</v>
      </c>
      <c r="Q59" s="4" t="s">
        <v>861</v>
      </c>
      <c r="R59" s="4" t="s">
        <v>862</v>
      </c>
    </row>
    <row r="60" spans="1:18" ht="40.049999999999997" customHeight="1" x14ac:dyDescent="0.45">
      <c r="A60" s="4" t="s">
        <v>863</v>
      </c>
      <c r="B60" s="4" t="s">
        <v>848</v>
      </c>
      <c r="C60" s="4" t="s">
        <v>849</v>
      </c>
      <c r="D60" s="4" t="s">
        <v>850</v>
      </c>
      <c r="E60" s="4" t="s">
        <v>864</v>
      </c>
      <c r="F60" s="4" t="s">
        <v>852</v>
      </c>
      <c r="G60" s="4" t="s">
        <v>865</v>
      </c>
      <c r="H60" s="4" t="s">
        <v>21</v>
      </c>
      <c r="I60" s="4" t="s">
        <v>210</v>
      </c>
      <c r="J60" s="4" t="s">
        <v>866</v>
      </c>
      <c r="K60" s="4" t="s">
        <v>867</v>
      </c>
      <c r="L60" s="4" t="s">
        <v>868</v>
      </c>
      <c r="M60" s="4" t="s">
        <v>869</v>
      </c>
      <c r="N60" s="4" t="s">
        <v>870</v>
      </c>
      <c r="O60" s="4" t="s">
        <v>859</v>
      </c>
      <c r="P60" s="4" t="s">
        <v>210</v>
      </c>
      <c r="Q60" s="4" t="s">
        <v>871</v>
      </c>
      <c r="R60" s="4" t="s">
        <v>872</v>
      </c>
    </row>
    <row r="61" spans="1:18" ht="40.049999999999997" customHeight="1" x14ac:dyDescent="0.45">
      <c r="A61" s="4" t="s">
        <v>873</v>
      </c>
      <c r="B61" s="4" t="s">
        <v>874</v>
      </c>
      <c r="C61" s="4" t="s">
        <v>875</v>
      </c>
      <c r="D61" s="4" t="s">
        <v>876</v>
      </c>
      <c r="E61" s="4" t="s">
        <v>877</v>
      </c>
      <c r="F61" s="4" t="s">
        <v>878</v>
      </c>
      <c r="G61" s="4" t="s">
        <v>879</v>
      </c>
      <c r="H61" s="4" t="s">
        <v>21</v>
      </c>
      <c r="I61" s="4" t="s">
        <v>210</v>
      </c>
      <c r="J61" s="4" t="s">
        <v>880</v>
      </c>
      <c r="K61" s="4" t="s">
        <v>881</v>
      </c>
      <c r="L61" s="4" t="s">
        <v>882</v>
      </c>
      <c r="M61" s="4" t="s">
        <v>883</v>
      </c>
      <c r="N61" s="4" t="s">
        <v>884</v>
      </c>
      <c r="O61" s="4" t="s">
        <v>859</v>
      </c>
      <c r="P61" s="4" t="s">
        <v>210</v>
      </c>
      <c r="Q61" s="4" t="s">
        <v>885</v>
      </c>
      <c r="R61" s="4" t="s">
        <v>886</v>
      </c>
    </row>
    <row r="62" spans="1:18" ht="40.049999999999997" customHeight="1" x14ac:dyDescent="0.45">
      <c r="A62" s="3" t="s">
        <v>887</v>
      </c>
      <c r="B62" s="3" t="s">
        <v>888</v>
      </c>
      <c r="C62" s="3" t="s">
        <v>889</v>
      </c>
      <c r="D62" s="3" t="s">
        <v>758</v>
      </c>
      <c r="E62" s="3" t="s">
        <v>890</v>
      </c>
      <c r="F62" s="3" t="s">
        <v>239</v>
      </c>
      <c r="G62" s="3" t="s">
        <v>891</v>
      </c>
      <c r="H62" s="3" t="s">
        <v>21</v>
      </c>
      <c r="I62" s="3" t="s">
        <v>20</v>
      </c>
      <c r="J62" s="3" t="s">
        <v>892</v>
      </c>
      <c r="K62" s="3" t="s">
        <v>893</v>
      </c>
      <c r="L62" s="3" t="s">
        <v>894</v>
      </c>
      <c r="M62" s="3" t="s">
        <v>895</v>
      </c>
      <c r="N62" s="3" t="s">
        <v>896</v>
      </c>
      <c r="O62" s="3" t="s">
        <v>897</v>
      </c>
      <c r="P62" s="3" t="s">
        <v>210</v>
      </c>
      <c r="Q62" s="3" t="s">
        <v>898</v>
      </c>
      <c r="R62" s="3" t="s">
        <v>899</v>
      </c>
    </row>
    <row r="63" spans="1:18" ht="40.049999999999997" customHeight="1" x14ac:dyDescent="0.45">
      <c r="A63" s="3" t="s">
        <v>900</v>
      </c>
      <c r="B63" s="3" t="s">
        <v>901</v>
      </c>
      <c r="C63" s="3" t="s">
        <v>902</v>
      </c>
      <c r="D63" s="3" t="s">
        <v>903</v>
      </c>
      <c r="E63" s="3" t="s">
        <v>904</v>
      </c>
      <c r="F63" s="3" t="s">
        <v>905</v>
      </c>
      <c r="G63" s="3" t="s">
        <v>209</v>
      </c>
      <c r="H63" s="3" t="s">
        <v>21</v>
      </c>
      <c r="I63" s="3" t="s">
        <v>20</v>
      </c>
      <c r="J63" s="3" t="s">
        <v>906</v>
      </c>
      <c r="K63" s="3" t="s">
        <v>907</v>
      </c>
      <c r="L63" s="3" t="s">
        <v>908</v>
      </c>
      <c r="M63" s="3" t="s">
        <v>909</v>
      </c>
      <c r="N63" s="3" t="s">
        <v>910</v>
      </c>
      <c r="O63" s="3" t="s">
        <v>911</v>
      </c>
      <c r="P63" s="3" t="s">
        <v>912</v>
      </c>
      <c r="Q63" s="3" t="s">
        <v>913</v>
      </c>
      <c r="R63" s="3" t="s">
        <v>914</v>
      </c>
    </row>
    <row r="64" spans="1:18" ht="40.049999999999997" customHeight="1" x14ac:dyDescent="0.45">
      <c r="A64" s="4" t="s">
        <v>915</v>
      </c>
      <c r="B64" s="4" t="s">
        <v>916</v>
      </c>
      <c r="C64" s="4" t="s">
        <v>902</v>
      </c>
      <c r="D64" s="4" t="s">
        <v>620</v>
      </c>
      <c r="E64" s="4" t="s">
        <v>917</v>
      </c>
      <c r="F64" s="4" t="s">
        <v>622</v>
      </c>
      <c r="G64" s="4" t="s">
        <v>636</v>
      </c>
      <c r="H64" s="4" t="s">
        <v>21</v>
      </c>
      <c r="I64" s="4" t="s">
        <v>210</v>
      </c>
      <c r="J64" s="4" t="s">
        <v>918</v>
      </c>
      <c r="K64" s="4" t="s">
        <v>919</v>
      </c>
      <c r="L64" s="4" t="s">
        <v>920</v>
      </c>
      <c r="M64" s="4" t="s">
        <v>921</v>
      </c>
      <c r="N64" s="4" t="s">
        <v>922</v>
      </c>
      <c r="O64" s="4" t="s">
        <v>776</v>
      </c>
      <c r="P64" s="4" t="s">
        <v>923</v>
      </c>
      <c r="Q64" s="4" t="s">
        <v>924</v>
      </c>
      <c r="R64" s="4" t="s">
        <v>925</v>
      </c>
    </row>
    <row r="65" spans="1:18" ht="40.049999999999997" customHeight="1" x14ac:dyDescent="0.45">
      <c r="A65" s="4" t="s">
        <v>926</v>
      </c>
      <c r="B65" s="4" t="s">
        <v>634</v>
      </c>
      <c r="C65" s="4" t="s">
        <v>927</v>
      </c>
      <c r="D65" s="4" t="s">
        <v>620</v>
      </c>
      <c r="E65" s="4" t="s">
        <v>928</v>
      </c>
      <c r="F65" s="4" t="s">
        <v>622</v>
      </c>
      <c r="G65" s="4" t="s">
        <v>209</v>
      </c>
      <c r="H65" s="4" t="s">
        <v>21</v>
      </c>
      <c r="I65" s="4" t="s">
        <v>210</v>
      </c>
      <c r="J65" s="4" t="s">
        <v>929</v>
      </c>
      <c r="K65" s="4" t="s">
        <v>930</v>
      </c>
      <c r="L65" s="4" t="s">
        <v>931</v>
      </c>
      <c r="M65" s="4" t="s">
        <v>640</v>
      </c>
      <c r="N65" s="4" t="s">
        <v>641</v>
      </c>
      <c r="O65" s="4" t="s">
        <v>642</v>
      </c>
      <c r="P65" s="4" t="s">
        <v>630</v>
      </c>
      <c r="Q65" s="4" t="s">
        <v>643</v>
      </c>
      <c r="R65" s="4" t="s">
        <v>644</v>
      </c>
    </row>
    <row r="66" spans="1:18" ht="40.049999999999997" customHeight="1" x14ac:dyDescent="0.45">
      <c r="A66" s="3" t="s">
        <v>932</v>
      </c>
      <c r="B66" s="3" t="s">
        <v>933</v>
      </c>
      <c r="C66" s="3" t="s">
        <v>934</v>
      </c>
      <c r="D66" s="3" t="s">
        <v>935</v>
      </c>
      <c r="E66" s="3" t="s">
        <v>936</v>
      </c>
      <c r="F66" s="3" t="s">
        <v>937</v>
      </c>
      <c r="G66" s="3" t="s">
        <v>938</v>
      </c>
      <c r="H66" s="3" t="s">
        <v>21</v>
      </c>
      <c r="I66" s="3" t="s">
        <v>20</v>
      </c>
      <c r="J66" s="3" t="s">
        <v>939</v>
      </c>
      <c r="K66" s="3" t="s">
        <v>940</v>
      </c>
      <c r="L66" s="3" t="s">
        <v>941</v>
      </c>
      <c r="M66" s="3" t="s">
        <v>942</v>
      </c>
      <c r="N66" s="3" t="s">
        <v>144</v>
      </c>
      <c r="O66" s="3" t="s">
        <v>943</v>
      </c>
      <c r="P66" s="3" t="s">
        <v>160</v>
      </c>
      <c r="Q66" s="3" t="s">
        <v>944</v>
      </c>
      <c r="R66" s="3" t="s">
        <v>945</v>
      </c>
    </row>
    <row r="67" spans="1:18" ht="40.049999999999997" customHeight="1" x14ac:dyDescent="0.45">
      <c r="A67" s="3" t="s">
        <v>946</v>
      </c>
      <c r="B67" s="3" t="s">
        <v>947</v>
      </c>
      <c r="C67" s="3" t="s">
        <v>948</v>
      </c>
      <c r="D67" s="3" t="s">
        <v>935</v>
      </c>
      <c r="E67" s="3" t="s">
        <v>949</v>
      </c>
      <c r="F67" s="3" t="s">
        <v>937</v>
      </c>
      <c r="G67" s="3" t="s">
        <v>950</v>
      </c>
      <c r="H67" s="3" t="s">
        <v>21</v>
      </c>
      <c r="I67" s="3" t="s">
        <v>20</v>
      </c>
      <c r="J67" s="3" t="s">
        <v>951</v>
      </c>
      <c r="K67" s="3" t="s">
        <v>952</v>
      </c>
      <c r="L67" s="3" t="s">
        <v>953</v>
      </c>
      <c r="M67" s="3" t="s">
        <v>954</v>
      </c>
      <c r="N67" s="3" t="s">
        <v>955</v>
      </c>
      <c r="O67" s="3" t="s">
        <v>271</v>
      </c>
      <c r="P67" s="3" t="s">
        <v>20</v>
      </c>
      <c r="Q67" s="3" t="s">
        <v>950</v>
      </c>
      <c r="R67" s="3" t="s">
        <v>956</v>
      </c>
    </row>
    <row r="68" spans="1:18" ht="40.049999999999997" customHeight="1" x14ac:dyDescent="0.45">
      <c r="A68" s="2" t="s">
        <v>957</v>
      </c>
      <c r="B68" s="2" t="s">
        <v>958</v>
      </c>
      <c r="C68" s="2" t="s">
        <v>959</v>
      </c>
      <c r="D68" s="2" t="s">
        <v>151</v>
      </c>
      <c r="E68" s="2" t="s">
        <v>960</v>
      </c>
      <c r="F68" s="2" t="s">
        <v>153</v>
      </c>
      <c r="G68" s="2" t="s">
        <v>108</v>
      </c>
      <c r="H68" s="2" t="s">
        <v>9</v>
      </c>
      <c r="I68" s="2" t="s">
        <v>109</v>
      </c>
      <c r="J68" s="2" t="s">
        <v>961</v>
      </c>
      <c r="K68" s="2" t="s">
        <v>962</v>
      </c>
      <c r="L68" s="2" t="s">
        <v>963</v>
      </c>
      <c r="M68" s="2" t="s">
        <v>964</v>
      </c>
      <c r="N68" s="2" t="s">
        <v>965</v>
      </c>
      <c r="O68" s="2" t="s">
        <v>188</v>
      </c>
      <c r="P68" s="2" t="s">
        <v>966</v>
      </c>
      <c r="Q68" s="2" t="s">
        <v>967</v>
      </c>
      <c r="R68" s="2" t="s">
        <v>968</v>
      </c>
    </row>
    <row r="69" spans="1:18" ht="40.049999999999997" customHeight="1" x14ac:dyDescent="0.45">
      <c r="A69" s="2" t="s">
        <v>969</v>
      </c>
      <c r="B69" s="2" t="s">
        <v>970</v>
      </c>
      <c r="C69" s="2" t="s">
        <v>971</v>
      </c>
      <c r="D69" s="2" t="s">
        <v>151</v>
      </c>
      <c r="E69" s="2" t="s">
        <v>972</v>
      </c>
      <c r="F69" s="2" t="s">
        <v>153</v>
      </c>
      <c r="G69" s="2" t="s">
        <v>108</v>
      </c>
      <c r="H69" s="2" t="s">
        <v>9</v>
      </c>
      <c r="I69" s="2" t="s">
        <v>109</v>
      </c>
      <c r="J69" s="2" t="s">
        <v>973</v>
      </c>
      <c r="K69" s="2" t="s">
        <v>974</v>
      </c>
      <c r="L69" s="2" t="s">
        <v>975</v>
      </c>
      <c r="M69" s="2" t="s">
        <v>976</v>
      </c>
      <c r="N69" s="2" t="s">
        <v>977</v>
      </c>
      <c r="O69" s="2" t="s">
        <v>188</v>
      </c>
      <c r="P69" s="2" t="s">
        <v>966</v>
      </c>
      <c r="Q69" s="2" t="s">
        <v>978</v>
      </c>
      <c r="R69" s="2" t="s">
        <v>979</v>
      </c>
    </row>
    <row r="70" spans="1:18" ht="40.049999999999997" customHeight="1" x14ac:dyDescent="0.45">
      <c r="A70" s="3" t="s">
        <v>980</v>
      </c>
      <c r="B70" s="3" t="s">
        <v>981</v>
      </c>
      <c r="C70" s="3" t="s">
        <v>135</v>
      </c>
      <c r="D70" s="3" t="s">
        <v>136</v>
      </c>
      <c r="E70" s="3" t="s">
        <v>982</v>
      </c>
      <c r="F70" s="3" t="s">
        <v>138</v>
      </c>
      <c r="G70" s="3" t="s">
        <v>983</v>
      </c>
      <c r="H70" s="3" t="s">
        <v>15</v>
      </c>
      <c r="I70" s="3" t="s">
        <v>20</v>
      </c>
      <c r="J70" s="3" t="s">
        <v>984</v>
      </c>
      <c r="K70" s="3" t="s">
        <v>985</v>
      </c>
      <c r="L70" s="3" t="s">
        <v>986</v>
      </c>
      <c r="M70" s="3" t="s">
        <v>143</v>
      </c>
      <c r="N70" s="3" t="s">
        <v>557</v>
      </c>
      <c r="O70" s="3" t="s">
        <v>987</v>
      </c>
      <c r="P70" s="3" t="s">
        <v>988</v>
      </c>
      <c r="Q70" s="3" t="s">
        <v>989</v>
      </c>
      <c r="R70" s="3" t="s">
        <v>990</v>
      </c>
    </row>
    <row r="71" spans="1:18" ht="40.049999999999997" customHeight="1" x14ac:dyDescent="0.45">
      <c r="A71" s="3" t="s">
        <v>991</v>
      </c>
      <c r="B71" s="3" t="s">
        <v>992</v>
      </c>
      <c r="C71" s="3" t="s">
        <v>993</v>
      </c>
      <c r="D71" s="3" t="s">
        <v>994</v>
      </c>
      <c r="E71" s="3" t="s">
        <v>995</v>
      </c>
      <c r="F71" s="3" t="s">
        <v>770</v>
      </c>
      <c r="G71" s="3" t="s">
        <v>996</v>
      </c>
      <c r="H71" s="3" t="s">
        <v>15</v>
      </c>
      <c r="I71" s="3" t="s">
        <v>20</v>
      </c>
      <c r="J71" s="3" t="s">
        <v>997</v>
      </c>
      <c r="K71" s="3" t="s">
        <v>998</v>
      </c>
      <c r="L71" s="3" t="s">
        <v>999</v>
      </c>
      <c r="M71" s="3" t="s">
        <v>1000</v>
      </c>
      <c r="N71" s="3" t="s">
        <v>1001</v>
      </c>
      <c r="O71" s="3" t="s">
        <v>283</v>
      </c>
      <c r="P71" s="3" t="s">
        <v>14</v>
      </c>
      <c r="Q71" s="3" t="s">
        <v>1002</v>
      </c>
      <c r="R71" s="3" t="s">
        <v>1003</v>
      </c>
    </row>
    <row r="72" spans="1:18" ht="40.049999999999997" customHeight="1" x14ac:dyDescent="0.45">
      <c r="A72" s="5" t="s">
        <v>1004</v>
      </c>
      <c r="B72" s="5" t="s">
        <v>1005</v>
      </c>
      <c r="C72" s="5" t="s">
        <v>1006</v>
      </c>
      <c r="D72" s="5" t="s">
        <v>222</v>
      </c>
      <c r="E72" s="5" t="s">
        <v>1007</v>
      </c>
      <c r="F72" s="5" t="s">
        <v>224</v>
      </c>
      <c r="G72" s="5" t="s">
        <v>225</v>
      </c>
      <c r="H72" s="5" t="s">
        <v>27</v>
      </c>
      <c r="I72" s="5" t="s">
        <v>32</v>
      </c>
      <c r="J72" s="5" t="s">
        <v>226</v>
      </c>
      <c r="K72" s="5" t="s">
        <v>1008</v>
      </c>
      <c r="L72" s="5" t="s">
        <v>228</v>
      </c>
      <c r="M72" s="5" t="s">
        <v>1009</v>
      </c>
      <c r="N72" s="5" t="s">
        <v>1010</v>
      </c>
      <c r="O72" s="5" t="s">
        <v>1011</v>
      </c>
      <c r="P72" s="5" t="s">
        <v>1012</v>
      </c>
      <c r="Q72" s="5" t="s">
        <v>1013</v>
      </c>
      <c r="R72" s="5" t="s">
        <v>1014</v>
      </c>
    </row>
    <row r="73" spans="1:18" ht="40.049999999999997" customHeight="1" x14ac:dyDescent="0.45">
      <c r="A73" s="3" t="s">
        <v>1015</v>
      </c>
      <c r="B73" s="3" t="s">
        <v>1016</v>
      </c>
      <c r="C73" s="3" t="s">
        <v>1017</v>
      </c>
      <c r="D73" s="3" t="s">
        <v>457</v>
      </c>
      <c r="E73" s="3" t="s">
        <v>1018</v>
      </c>
      <c r="F73" s="3" t="s">
        <v>459</v>
      </c>
      <c r="G73" s="3" t="s">
        <v>1019</v>
      </c>
      <c r="H73" s="3" t="s">
        <v>21</v>
      </c>
      <c r="I73" s="3" t="s">
        <v>20</v>
      </c>
      <c r="J73" s="3" t="s">
        <v>1020</v>
      </c>
      <c r="K73" s="3" t="s">
        <v>1021</v>
      </c>
      <c r="L73" s="3" t="s">
        <v>1022</v>
      </c>
      <c r="M73" s="3" t="s">
        <v>1023</v>
      </c>
      <c r="N73" s="3" t="s">
        <v>1024</v>
      </c>
      <c r="O73" s="3" t="s">
        <v>1025</v>
      </c>
      <c r="P73" s="3" t="s">
        <v>1026</v>
      </c>
      <c r="Q73" s="3" t="s">
        <v>1027</v>
      </c>
      <c r="R73" s="3" t="s">
        <v>1028</v>
      </c>
    </row>
    <row r="74" spans="1:18" ht="40.049999999999997" customHeight="1" x14ac:dyDescent="0.45">
      <c r="A74" s="3" t="s">
        <v>1029</v>
      </c>
      <c r="B74" s="3" t="s">
        <v>646</v>
      </c>
      <c r="C74" s="3" t="s">
        <v>1030</v>
      </c>
      <c r="D74" s="3" t="s">
        <v>1031</v>
      </c>
      <c r="E74" s="3" t="s">
        <v>1032</v>
      </c>
      <c r="F74" s="3" t="s">
        <v>1033</v>
      </c>
      <c r="G74" s="3" t="s">
        <v>1034</v>
      </c>
      <c r="H74" s="3" t="s">
        <v>15</v>
      </c>
      <c r="I74" s="3" t="s">
        <v>20</v>
      </c>
      <c r="J74" s="3" t="s">
        <v>1035</v>
      </c>
      <c r="K74" s="3" t="s">
        <v>1036</v>
      </c>
      <c r="L74" s="3" t="s">
        <v>999</v>
      </c>
      <c r="M74" s="3" t="s">
        <v>1037</v>
      </c>
      <c r="N74" s="3" t="s">
        <v>1038</v>
      </c>
      <c r="O74" s="3" t="s">
        <v>271</v>
      </c>
      <c r="P74" s="3" t="s">
        <v>20</v>
      </c>
      <c r="Q74" s="3" t="s">
        <v>1034</v>
      </c>
      <c r="R74" s="3" t="s">
        <v>1039</v>
      </c>
    </row>
    <row r="75" spans="1:18" ht="40.049999999999997" customHeight="1" x14ac:dyDescent="0.45">
      <c r="A75" s="5" t="s">
        <v>1040</v>
      </c>
      <c r="B75" s="5" t="s">
        <v>1041</v>
      </c>
      <c r="C75" s="5" t="s">
        <v>1042</v>
      </c>
      <c r="D75" s="5" t="s">
        <v>1043</v>
      </c>
      <c r="E75" s="5" t="s">
        <v>1044</v>
      </c>
      <c r="F75" s="5" t="s">
        <v>1045</v>
      </c>
      <c r="G75" s="5" t="s">
        <v>477</v>
      </c>
      <c r="H75" s="5" t="s">
        <v>33</v>
      </c>
      <c r="I75" s="5" t="s">
        <v>32</v>
      </c>
      <c r="J75" s="5" t="s">
        <v>1046</v>
      </c>
      <c r="K75" s="5" t="s">
        <v>1047</v>
      </c>
      <c r="L75" s="5" t="s">
        <v>1048</v>
      </c>
      <c r="M75" s="5" t="s">
        <v>1049</v>
      </c>
      <c r="N75" s="5" t="s">
        <v>1050</v>
      </c>
      <c r="O75" s="5" t="s">
        <v>1051</v>
      </c>
      <c r="P75" s="5" t="s">
        <v>32</v>
      </c>
      <c r="Q75" s="5" t="s">
        <v>1052</v>
      </c>
      <c r="R75" s="5" t="s">
        <v>1053</v>
      </c>
    </row>
    <row r="76" spans="1:18" ht="40.049999999999997" customHeight="1" x14ac:dyDescent="0.45">
      <c r="A76" s="6" t="s">
        <v>1054</v>
      </c>
      <c r="B76" s="6" t="s">
        <v>1055</v>
      </c>
      <c r="C76" s="6" t="s">
        <v>1056</v>
      </c>
      <c r="D76" s="6" t="s">
        <v>1057</v>
      </c>
      <c r="E76" s="6" t="s">
        <v>1058</v>
      </c>
      <c r="F76" s="6" t="s">
        <v>1059</v>
      </c>
      <c r="G76" s="6" t="s">
        <v>1060</v>
      </c>
      <c r="H76" s="6" t="s">
        <v>27</v>
      </c>
      <c r="I76" s="6" t="s">
        <v>652</v>
      </c>
      <c r="J76" s="6" t="s">
        <v>1061</v>
      </c>
      <c r="K76" s="6" t="s">
        <v>1062</v>
      </c>
      <c r="L76" s="6" t="s">
        <v>1063</v>
      </c>
      <c r="M76" s="6" t="s">
        <v>1064</v>
      </c>
      <c r="N76" s="6" t="s">
        <v>1065</v>
      </c>
      <c r="O76" s="6" t="s">
        <v>499</v>
      </c>
      <c r="P76" s="6" t="s">
        <v>32</v>
      </c>
      <c r="Q76" s="6" t="s">
        <v>1066</v>
      </c>
      <c r="R76" s="6" t="s">
        <v>1067</v>
      </c>
    </row>
    <row r="77" spans="1:18" ht="40.049999999999997" customHeight="1" x14ac:dyDescent="0.45">
      <c r="A77" s="4" t="s">
        <v>1068</v>
      </c>
      <c r="B77" s="4" t="s">
        <v>1069</v>
      </c>
      <c r="C77" s="4" t="s">
        <v>1070</v>
      </c>
      <c r="D77" s="4" t="s">
        <v>1071</v>
      </c>
      <c r="E77" s="4" t="s">
        <v>1072</v>
      </c>
      <c r="F77" s="4" t="s">
        <v>1073</v>
      </c>
      <c r="G77" s="4" t="s">
        <v>1074</v>
      </c>
      <c r="H77" s="4" t="s">
        <v>27</v>
      </c>
      <c r="I77" s="4" t="s">
        <v>210</v>
      </c>
      <c r="J77" s="4" t="s">
        <v>1075</v>
      </c>
      <c r="K77" s="4" t="s">
        <v>1076</v>
      </c>
      <c r="L77" s="4" t="s">
        <v>1077</v>
      </c>
      <c r="M77" s="4" t="s">
        <v>1078</v>
      </c>
      <c r="N77" s="4" t="s">
        <v>657</v>
      </c>
      <c r="O77" s="4" t="s">
        <v>499</v>
      </c>
      <c r="P77" s="4" t="s">
        <v>32</v>
      </c>
      <c r="Q77" s="4" t="s">
        <v>1079</v>
      </c>
      <c r="R77" s="4" t="s">
        <v>1080</v>
      </c>
    </row>
    <row r="78" spans="1:18" ht="40.049999999999997" customHeight="1" x14ac:dyDescent="0.45">
      <c r="A78" s="6" t="s">
        <v>1081</v>
      </c>
      <c r="B78" s="6" t="s">
        <v>1082</v>
      </c>
      <c r="C78" s="6" t="s">
        <v>1083</v>
      </c>
      <c r="D78" s="6" t="s">
        <v>1084</v>
      </c>
      <c r="E78" s="6" t="s">
        <v>1085</v>
      </c>
      <c r="F78" s="6" t="s">
        <v>1086</v>
      </c>
      <c r="G78" s="6" t="s">
        <v>1087</v>
      </c>
      <c r="H78" s="6" t="s">
        <v>27</v>
      </c>
      <c r="I78" s="6" t="s">
        <v>652</v>
      </c>
      <c r="J78" s="6" t="s">
        <v>1088</v>
      </c>
      <c r="K78" s="6" t="s">
        <v>1089</v>
      </c>
      <c r="L78" s="6" t="s">
        <v>1090</v>
      </c>
      <c r="M78" s="6" t="s">
        <v>1091</v>
      </c>
      <c r="N78" s="6" t="s">
        <v>1092</v>
      </c>
      <c r="O78" s="6" t="s">
        <v>499</v>
      </c>
      <c r="P78" s="6" t="s">
        <v>32</v>
      </c>
      <c r="Q78" s="6" t="s">
        <v>1093</v>
      </c>
      <c r="R78" s="6" t="s">
        <v>1094</v>
      </c>
    </row>
    <row r="79" spans="1:18" ht="40.049999999999997" customHeight="1" x14ac:dyDescent="0.45">
      <c r="A79" s="5" t="s">
        <v>1095</v>
      </c>
      <c r="B79" s="5" t="s">
        <v>1096</v>
      </c>
      <c r="C79" s="5" t="s">
        <v>1097</v>
      </c>
      <c r="D79" s="5" t="s">
        <v>358</v>
      </c>
      <c r="E79" s="5" t="s">
        <v>359</v>
      </c>
      <c r="F79" s="5" t="s">
        <v>360</v>
      </c>
      <c r="G79" s="5" t="s">
        <v>1098</v>
      </c>
      <c r="H79" s="5" t="s">
        <v>21</v>
      </c>
      <c r="I79" s="5" t="s">
        <v>32</v>
      </c>
      <c r="J79" s="5" t="s">
        <v>1099</v>
      </c>
      <c r="K79" s="5" t="s">
        <v>1100</v>
      </c>
      <c r="L79" s="5" t="s">
        <v>1101</v>
      </c>
      <c r="M79" s="5" t="s">
        <v>1102</v>
      </c>
      <c r="N79" s="5" t="s">
        <v>1103</v>
      </c>
      <c r="O79" s="5" t="s">
        <v>303</v>
      </c>
      <c r="P79" s="5" t="s">
        <v>32</v>
      </c>
      <c r="Q79" s="5" t="s">
        <v>341</v>
      </c>
      <c r="R79" s="5" t="s">
        <v>1104</v>
      </c>
    </row>
    <row r="80" spans="1:18" ht="40.049999999999997" customHeight="1" x14ac:dyDescent="0.45">
      <c r="A80" s="2" t="s">
        <v>1105</v>
      </c>
      <c r="B80" s="2" t="s">
        <v>1106</v>
      </c>
      <c r="C80" s="2" t="s">
        <v>179</v>
      </c>
      <c r="D80" s="2" t="s">
        <v>180</v>
      </c>
      <c r="E80" s="2" t="s">
        <v>1107</v>
      </c>
      <c r="F80" s="2" t="s">
        <v>182</v>
      </c>
      <c r="G80" s="2" t="s">
        <v>1108</v>
      </c>
      <c r="H80" s="2" t="s">
        <v>15</v>
      </c>
      <c r="I80" s="2" t="s">
        <v>109</v>
      </c>
      <c r="J80" s="2" t="s">
        <v>1109</v>
      </c>
      <c r="K80" s="2" t="s">
        <v>1110</v>
      </c>
      <c r="L80" s="2" t="s">
        <v>1111</v>
      </c>
      <c r="M80" s="2" t="s">
        <v>1112</v>
      </c>
      <c r="N80" s="2" t="s">
        <v>1113</v>
      </c>
      <c r="O80" s="2" t="s">
        <v>409</v>
      </c>
      <c r="P80" s="2" t="s">
        <v>1114</v>
      </c>
      <c r="Q80" s="2" t="s">
        <v>108</v>
      </c>
      <c r="R80" s="2" t="s">
        <v>1115</v>
      </c>
    </row>
    <row r="81" spans="1:18" ht="40.049999999999997" customHeight="1" x14ac:dyDescent="0.45">
      <c r="A81" s="5" t="s">
        <v>1116</v>
      </c>
      <c r="B81" s="5" t="s">
        <v>1117</v>
      </c>
      <c r="C81" s="5" t="s">
        <v>1118</v>
      </c>
      <c r="D81" s="5" t="s">
        <v>1119</v>
      </c>
      <c r="E81" s="5" t="s">
        <v>1120</v>
      </c>
      <c r="F81" s="5" t="s">
        <v>1121</v>
      </c>
      <c r="G81" s="5" t="s">
        <v>1122</v>
      </c>
      <c r="H81" s="5" t="s">
        <v>33</v>
      </c>
      <c r="I81" s="5" t="s">
        <v>32</v>
      </c>
      <c r="J81" s="5" t="s">
        <v>1123</v>
      </c>
      <c r="K81" s="5" t="s">
        <v>1124</v>
      </c>
      <c r="L81" s="5" t="s">
        <v>1125</v>
      </c>
      <c r="M81" s="5" t="s">
        <v>1126</v>
      </c>
      <c r="N81" s="5" t="s">
        <v>1127</v>
      </c>
      <c r="O81" s="5" t="s">
        <v>776</v>
      </c>
      <c r="P81" s="5" t="s">
        <v>38</v>
      </c>
      <c r="Q81" s="5" t="s">
        <v>341</v>
      </c>
      <c r="R81" s="5" t="s">
        <v>1128</v>
      </c>
    </row>
    <row r="82" spans="1:18" ht="40.049999999999997" customHeight="1" x14ac:dyDescent="0.45">
      <c r="A82" s="5" t="s">
        <v>1129</v>
      </c>
      <c r="B82" s="5" t="s">
        <v>646</v>
      </c>
      <c r="C82" s="5" t="s">
        <v>1130</v>
      </c>
      <c r="D82" s="5" t="s">
        <v>1131</v>
      </c>
      <c r="E82" s="5" t="s">
        <v>1132</v>
      </c>
      <c r="F82" s="5" t="s">
        <v>1133</v>
      </c>
      <c r="G82" s="5" t="s">
        <v>1134</v>
      </c>
      <c r="H82" s="5" t="s">
        <v>33</v>
      </c>
      <c r="I82" s="5" t="s">
        <v>32</v>
      </c>
      <c r="J82" s="5" t="s">
        <v>1135</v>
      </c>
      <c r="K82" s="5" t="s">
        <v>1136</v>
      </c>
      <c r="L82" s="5" t="s">
        <v>1137</v>
      </c>
      <c r="M82" s="5" t="s">
        <v>1138</v>
      </c>
      <c r="N82" s="5" t="s">
        <v>657</v>
      </c>
      <c r="O82" s="5" t="s">
        <v>1139</v>
      </c>
      <c r="P82" s="5" t="s">
        <v>38</v>
      </c>
      <c r="Q82" s="5" t="s">
        <v>1140</v>
      </c>
      <c r="R82" s="5" t="s">
        <v>1141</v>
      </c>
    </row>
  </sheetData>
  <mergeCells count="1">
    <mergeCell ref="A1:S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L83"/>
  <sheetViews>
    <sheetView workbookViewId="0">
      <pane ySplit="3" topLeftCell="A4" activePane="bottomLeft" state="frozen"/>
      <selection pane="bottomLeft" sqref="A1:L1"/>
    </sheetView>
  </sheetViews>
  <sheetFormatPr defaultRowHeight="14.25" x14ac:dyDescent="0.45"/>
  <cols>
    <col min="1" max="1" width="35" customWidth="1"/>
    <col min="2" max="2" width="22" customWidth="1"/>
    <col min="3" max="3" width="20" customWidth="1"/>
    <col min="4" max="4" width="15" customWidth="1"/>
    <col min="5" max="5" width="8" customWidth="1"/>
    <col min="6" max="6" width="25" customWidth="1"/>
    <col min="7" max="7" width="10" customWidth="1"/>
    <col min="8" max="9" width="28" customWidth="1"/>
    <col min="10" max="10" width="22" customWidth="1"/>
    <col min="11" max="11" width="50" customWidth="1"/>
    <col min="12" max="12" width="28" customWidth="1"/>
  </cols>
  <sheetData>
    <row r="1" spans="1:12" ht="24" customHeight="1" x14ac:dyDescent="0.45">
      <c r="A1" s="46" t="s">
        <v>1142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16.05" customHeight="1" x14ac:dyDescent="0.45">
      <c r="A2" s="45" t="s">
        <v>1143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ht="20" customHeight="1" x14ac:dyDescent="0.45">
      <c r="A3" s="8" t="s">
        <v>83</v>
      </c>
      <c r="B3" s="8" t="s">
        <v>1144</v>
      </c>
      <c r="C3" s="8" t="s">
        <v>1145</v>
      </c>
      <c r="D3" s="8" t="s">
        <v>91</v>
      </c>
      <c r="E3" s="8" t="s">
        <v>90</v>
      </c>
      <c r="F3" s="8" t="s">
        <v>1146</v>
      </c>
      <c r="G3" s="8" t="s">
        <v>1147</v>
      </c>
      <c r="H3" s="8" t="s">
        <v>1148</v>
      </c>
      <c r="I3" s="8" t="s">
        <v>1149</v>
      </c>
      <c r="J3" s="8" t="s">
        <v>89</v>
      </c>
      <c r="K3" s="8" t="s">
        <v>1150</v>
      </c>
      <c r="L3" s="8" t="s">
        <v>1151</v>
      </c>
    </row>
    <row r="4" spans="1:12" ht="36" customHeight="1" x14ac:dyDescent="0.45">
      <c r="A4" s="2" t="s">
        <v>234</v>
      </c>
      <c r="B4" s="2" t="s">
        <v>236</v>
      </c>
      <c r="C4" s="2" t="s">
        <v>237</v>
      </c>
      <c r="D4" s="2" t="s">
        <v>109</v>
      </c>
      <c r="E4" s="2" t="s">
        <v>9</v>
      </c>
      <c r="F4" s="2" t="s">
        <v>241</v>
      </c>
      <c r="G4" s="9" t="s">
        <v>1152</v>
      </c>
      <c r="H4" s="2" t="s">
        <v>1153</v>
      </c>
      <c r="I4" s="2" t="s">
        <v>248</v>
      </c>
      <c r="J4" s="2" t="s">
        <v>240</v>
      </c>
      <c r="K4" s="2" t="s">
        <v>249</v>
      </c>
      <c r="L4" s="2" t="s">
        <v>243</v>
      </c>
    </row>
    <row r="5" spans="1:12" ht="36" customHeight="1" x14ac:dyDescent="0.45">
      <c r="A5" s="2" t="s">
        <v>368</v>
      </c>
      <c r="B5" s="2" t="s">
        <v>370</v>
      </c>
      <c r="C5" s="2" t="s">
        <v>165</v>
      </c>
      <c r="D5" s="2" t="s">
        <v>109</v>
      </c>
      <c r="E5" s="2" t="s">
        <v>9</v>
      </c>
      <c r="F5" s="2" t="s">
        <v>372</v>
      </c>
      <c r="G5" s="9" t="s">
        <v>1152</v>
      </c>
      <c r="H5" s="2" t="s">
        <v>1154</v>
      </c>
      <c r="I5" s="2" t="s">
        <v>378</v>
      </c>
      <c r="J5" s="2" t="s">
        <v>108</v>
      </c>
      <c r="K5" s="2" t="s">
        <v>379</v>
      </c>
      <c r="L5" s="2" t="s">
        <v>374</v>
      </c>
    </row>
    <row r="6" spans="1:12" ht="36" customHeight="1" x14ac:dyDescent="0.45">
      <c r="A6" s="2" t="s">
        <v>380</v>
      </c>
      <c r="B6" s="2" t="s">
        <v>382</v>
      </c>
      <c r="C6" s="2" t="s">
        <v>151</v>
      </c>
      <c r="D6" s="2" t="s">
        <v>109</v>
      </c>
      <c r="E6" s="2" t="s">
        <v>9</v>
      </c>
      <c r="F6" s="2" t="s">
        <v>384</v>
      </c>
      <c r="G6" s="9" t="s">
        <v>1152</v>
      </c>
      <c r="H6" s="2" t="s">
        <v>1154</v>
      </c>
      <c r="I6" s="2" t="s">
        <v>390</v>
      </c>
      <c r="J6" s="2" t="s">
        <v>108</v>
      </c>
      <c r="K6" s="2" t="s">
        <v>391</v>
      </c>
      <c r="L6" s="2" t="s">
        <v>386</v>
      </c>
    </row>
    <row r="7" spans="1:12" ht="36" customHeight="1" x14ac:dyDescent="0.45">
      <c r="A7" s="2" t="s">
        <v>969</v>
      </c>
      <c r="B7" s="2" t="s">
        <v>971</v>
      </c>
      <c r="C7" s="2" t="s">
        <v>151</v>
      </c>
      <c r="D7" s="2" t="s">
        <v>109</v>
      </c>
      <c r="E7" s="2" t="s">
        <v>9</v>
      </c>
      <c r="F7" s="2" t="s">
        <v>973</v>
      </c>
      <c r="G7" s="9" t="s">
        <v>1152</v>
      </c>
      <c r="H7" s="2" t="s">
        <v>1154</v>
      </c>
      <c r="I7" s="2" t="s">
        <v>978</v>
      </c>
      <c r="J7" s="2" t="s">
        <v>108</v>
      </c>
      <c r="K7" s="2" t="s">
        <v>979</v>
      </c>
      <c r="L7" s="2" t="s">
        <v>975</v>
      </c>
    </row>
    <row r="8" spans="1:12" ht="36" customHeight="1" x14ac:dyDescent="0.45">
      <c r="A8" s="2" t="s">
        <v>957</v>
      </c>
      <c r="B8" s="2" t="s">
        <v>959</v>
      </c>
      <c r="C8" s="2" t="s">
        <v>151</v>
      </c>
      <c r="D8" s="2" t="s">
        <v>109</v>
      </c>
      <c r="E8" s="2" t="s">
        <v>9</v>
      </c>
      <c r="F8" s="2" t="s">
        <v>961</v>
      </c>
      <c r="G8" s="9" t="s">
        <v>1152</v>
      </c>
      <c r="H8" s="2" t="s">
        <v>1154</v>
      </c>
      <c r="I8" s="2" t="s">
        <v>967</v>
      </c>
      <c r="J8" s="2" t="s">
        <v>108</v>
      </c>
      <c r="K8" s="2" t="s">
        <v>968</v>
      </c>
      <c r="L8" s="2" t="s">
        <v>963</v>
      </c>
    </row>
    <row r="9" spans="1:12" ht="36" customHeight="1" x14ac:dyDescent="0.45">
      <c r="A9" s="2" t="s">
        <v>599</v>
      </c>
      <c r="B9" s="2" t="s">
        <v>601</v>
      </c>
      <c r="C9" s="2" t="s">
        <v>165</v>
      </c>
      <c r="D9" s="2" t="s">
        <v>109</v>
      </c>
      <c r="E9" s="2" t="s">
        <v>9</v>
      </c>
      <c r="F9" s="2" t="s">
        <v>603</v>
      </c>
      <c r="G9" s="9" t="s">
        <v>1152</v>
      </c>
      <c r="H9" s="2" t="s">
        <v>1154</v>
      </c>
      <c r="I9" s="2" t="s">
        <v>607</v>
      </c>
      <c r="J9" s="2" t="s">
        <v>108</v>
      </c>
      <c r="K9" s="2" t="s">
        <v>608</v>
      </c>
      <c r="L9" s="2" t="s">
        <v>605</v>
      </c>
    </row>
    <row r="10" spans="1:12" ht="36" customHeight="1" x14ac:dyDescent="0.45">
      <c r="A10" s="2" t="s">
        <v>192</v>
      </c>
      <c r="B10" s="2" t="s">
        <v>194</v>
      </c>
      <c r="C10" s="2" t="s">
        <v>165</v>
      </c>
      <c r="D10" s="2" t="s">
        <v>109</v>
      </c>
      <c r="E10" s="2" t="s">
        <v>9</v>
      </c>
      <c r="F10" s="2" t="s">
        <v>196</v>
      </c>
      <c r="G10" s="9" t="s">
        <v>1152</v>
      </c>
      <c r="H10" s="2" t="s">
        <v>1154</v>
      </c>
      <c r="I10" s="2" t="s">
        <v>108</v>
      </c>
      <c r="J10" s="2" t="s">
        <v>108</v>
      </c>
      <c r="K10" s="2" t="s">
        <v>202</v>
      </c>
      <c r="L10" s="2" t="s">
        <v>198</v>
      </c>
    </row>
    <row r="11" spans="1:12" ht="36" customHeight="1" x14ac:dyDescent="0.45">
      <c r="A11" s="2" t="s">
        <v>609</v>
      </c>
      <c r="B11" s="2" t="s">
        <v>611</v>
      </c>
      <c r="C11" s="2" t="s">
        <v>612</v>
      </c>
      <c r="D11" s="2" t="s">
        <v>109</v>
      </c>
      <c r="E11" s="2" t="s">
        <v>9</v>
      </c>
      <c r="F11" s="2" t="s">
        <v>614</v>
      </c>
      <c r="G11" s="9" t="s">
        <v>1152</v>
      </c>
      <c r="H11" s="2" t="s">
        <v>1154</v>
      </c>
      <c r="I11" s="2" t="s">
        <v>108</v>
      </c>
      <c r="J11" s="2" t="s">
        <v>108</v>
      </c>
      <c r="K11" s="2" t="s">
        <v>616</v>
      </c>
      <c r="L11" s="2" t="s">
        <v>605</v>
      </c>
    </row>
    <row r="12" spans="1:12" ht="36" customHeight="1" x14ac:dyDescent="0.45">
      <c r="A12" s="2" t="s">
        <v>402</v>
      </c>
      <c r="B12" s="2" t="s">
        <v>179</v>
      </c>
      <c r="C12" s="2" t="s">
        <v>165</v>
      </c>
      <c r="D12" s="2" t="s">
        <v>109</v>
      </c>
      <c r="E12" s="2" t="s">
        <v>9</v>
      </c>
      <c r="F12" s="2" t="s">
        <v>405</v>
      </c>
      <c r="G12" s="9" t="s">
        <v>1152</v>
      </c>
      <c r="H12" s="2" t="s">
        <v>1154</v>
      </c>
      <c r="I12" s="2" t="s">
        <v>108</v>
      </c>
      <c r="J12" s="2" t="s">
        <v>108</v>
      </c>
      <c r="K12" s="2" t="s">
        <v>410</v>
      </c>
      <c r="L12" s="2" t="s">
        <v>185</v>
      </c>
    </row>
    <row r="13" spans="1:12" ht="36" customHeight="1" x14ac:dyDescent="0.45">
      <c r="A13" s="2" t="s">
        <v>162</v>
      </c>
      <c r="B13" s="2" t="s">
        <v>164</v>
      </c>
      <c r="C13" s="2" t="s">
        <v>165</v>
      </c>
      <c r="D13" s="2" t="s">
        <v>109</v>
      </c>
      <c r="E13" s="2" t="s">
        <v>9</v>
      </c>
      <c r="F13" s="2" t="s">
        <v>168</v>
      </c>
      <c r="G13" s="9" t="s">
        <v>1152</v>
      </c>
      <c r="H13" s="2" t="s">
        <v>1154</v>
      </c>
      <c r="I13" s="2" t="s">
        <v>175</v>
      </c>
      <c r="J13" s="2" t="s">
        <v>108</v>
      </c>
      <c r="K13" s="2" t="s">
        <v>176</v>
      </c>
      <c r="L13" s="2" t="s">
        <v>170</v>
      </c>
    </row>
    <row r="14" spans="1:12" ht="36" customHeight="1" x14ac:dyDescent="0.45">
      <c r="A14" s="2" t="s">
        <v>660</v>
      </c>
      <c r="B14" s="2" t="s">
        <v>662</v>
      </c>
      <c r="C14" s="2" t="s">
        <v>442</v>
      </c>
      <c r="D14" s="2" t="s">
        <v>109</v>
      </c>
      <c r="E14" s="2" t="s">
        <v>9</v>
      </c>
      <c r="F14" s="2" t="s">
        <v>664</v>
      </c>
      <c r="G14" s="9" t="s">
        <v>1152</v>
      </c>
      <c r="H14" s="2" t="s">
        <v>1155</v>
      </c>
      <c r="I14" s="2" t="s">
        <v>671</v>
      </c>
      <c r="J14" s="2" t="s">
        <v>225</v>
      </c>
      <c r="K14" s="2" t="s">
        <v>672</v>
      </c>
      <c r="L14" s="2" t="s">
        <v>666</v>
      </c>
    </row>
    <row r="15" spans="1:12" ht="36" customHeight="1" x14ac:dyDescent="0.45">
      <c r="A15" s="2" t="s">
        <v>392</v>
      </c>
      <c r="B15" s="2" t="s">
        <v>394</v>
      </c>
      <c r="C15" s="2" t="s">
        <v>165</v>
      </c>
      <c r="D15" s="2" t="s">
        <v>109</v>
      </c>
      <c r="E15" s="2" t="s">
        <v>9</v>
      </c>
      <c r="F15" s="2" t="s">
        <v>396</v>
      </c>
      <c r="G15" s="9" t="s">
        <v>1152</v>
      </c>
      <c r="H15" s="2" t="s">
        <v>1154</v>
      </c>
      <c r="I15" s="2" t="s">
        <v>108</v>
      </c>
      <c r="J15" s="2" t="s">
        <v>108</v>
      </c>
      <c r="K15" s="2" t="s">
        <v>401</v>
      </c>
      <c r="L15" s="2" t="s">
        <v>398</v>
      </c>
    </row>
    <row r="16" spans="1:12" ht="36" customHeight="1" x14ac:dyDescent="0.45">
      <c r="A16" s="2" t="s">
        <v>673</v>
      </c>
      <c r="B16" s="2" t="s">
        <v>675</v>
      </c>
      <c r="C16" s="2" t="s">
        <v>442</v>
      </c>
      <c r="D16" s="2" t="s">
        <v>109</v>
      </c>
      <c r="E16" s="2" t="s">
        <v>9</v>
      </c>
      <c r="F16" s="2" t="s">
        <v>677</v>
      </c>
      <c r="G16" s="9" t="s">
        <v>1152</v>
      </c>
      <c r="H16" s="2" t="s">
        <v>1155</v>
      </c>
      <c r="I16" s="2" t="s">
        <v>683</v>
      </c>
      <c r="J16" s="2" t="s">
        <v>225</v>
      </c>
      <c r="K16" s="2" t="s">
        <v>684</v>
      </c>
      <c r="L16" s="2" t="s">
        <v>679</v>
      </c>
    </row>
    <row r="17" spans="1:12" ht="36" customHeight="1" x14ac:dyDescent="0.45">
      <c r="A17" s="2" t="s">
        <v>102</v>
      </c>
      <c r="B17" s="2" t="s">
        <v>104</v>
      </c>
      <c r="C17" s="2" t="s">
        <v>105</v>
      </c>
      <c r="D17" s="2" t="s">
        <v>109</v>
      </c>
      <c r="E17" s="2" t="s">
        <v>9</v>
      </c>
      <c r="F17" s="2" t="s">
        <v>110</v>
      </c>
      <c r="G17" s="9" t="s">
        <v>1152</v>
      </c>
      <c r="H17" s="2" t="s">
        <v>1154</v>
      </c>
      <c r="I17" s="2" t="s">
        <v>116</v>
      </c>
      <c r="J17" s="2" t="s">
        <v>108</v>
      </c>
      <c r="K17" s="2" t="s">
        <v>117</v>
      </c>
      <c r="L17" s="2" t="s">
        <v>112</v>
      </c>
    </row>
    <row r="18" spans="1:12" ht="36" customHeight="1" x14ac:dyDescent="0.45">
      <c r="A18" s="2" t="s">
        <v>177</v>
      </c>
      <c r="B18" s="2" t="s">
        <v>179</v>
      </c>
      <c r="C18" s="2" t="s">
        <v>180</v>
      </c>
      <c r="D18" s="2" t="s">
        <v>109</v>
      </c>
      <c r="E18" s="2" t="s">
        <v>15</v>
      </c>
      <c r="F18" s="2" t="s">
        <v>183</v>
      </c>
      <c r="G18" s="9" t="s">
        <v>1152</v>
      </c>
      <c r="H18" s="2" t="s">
        <v>1154</v>
      </c>
      <c r="I18" s="2" t="s">
        <v>190</v>
      </c>
      <c r="J18" s="2" t="s">
        <v>108</v>
      </c>
      <c r="K18" s="2" t="s">
        <v>191</v>
      </c>
      <c r="L18" s="2" t="s">
        <v>185</v>
      </c>
    </row>
    <row r="19" spans="1:12" ht="36" customHeight="1" x14ac:dyDescent="0.45">
      <c r="A19" s="2" t="s">
        <v>274</v>
      </c>
      <c r="B19" s="2" t="s">
        <v>276</v>
      </c>
      <c r="C19" s="2" t="s">
        <v>180</v>
      </c>
      <c r="D19" s="2" t="s">
        <v>109</v>
      </c>
      <c r="E19" s="2" t="s">
        <v>15</v>
      </c>
      <c r="F19" s="2" t="s">
        <v>278</v>
      </c>
      <c r="G19" s="9" t="s">
        <v>1152</v>
      </c>
      <c r="H19" s="2" t="s">
        <v>1154</v>
      </c>
      <c r="I19" s="2" t="s">
        <v>108</v>
      </c>
      <c r="J19" s="2" t="s">
        <v>108</v>
      </c>
      <c r="K19" s="2" t="s">
        <v>284</v>
      </c>
      <c r="L19" s="2" t="s">
        <v>280</v>
      </c>
    </row>
    <row r="20" spans="1:12" ht="36" customHeight="1" x14ac:dyDescent="0.45">
      <c r="A20" s="2" t="s">
        <v>1105</v>
      </c>
      <c r="B20" s="2" t="s">
        <v>179</v>
      </c>
      <c r="C20" s="2" t="s">
        <v>180</v>
      </c>
      <c r="D20" s="2" t="s">
        <v>109</v>
      </c>
      <c r="E20" s="2" t="s">
        <v>15</v>
      </c>
      <c r="F20" s="2" t="s">
        <v>1109</v>
      </c>
      <c r="G20" s="9" t="s">
        <v>1152</v>
      </c>
      <c r="H20" s="2" t="s">
        <v>1156</v>
      </c>
      <c r="I20" s="2" t="s">
        <v>108</v>
      </c>
      <c r="J20" s="2" t="s">
        <v>1108</v>
      </c>
      <c r="K20" s="2" t="s">
        <v>1115</v>
      </c>
      <c r="L20" s="2" t="s">
        <v>1111</v>
      </c>
    </row>
    <row r="21" spans="1:12" ht="36" customHeight="1" x14ac:dyDescent="0.45">
      <c r="A21" s="2" t="s">
        <v>317</v>
      </c>
      <c r="B21" s="2" t="s">
        <v>319</v>
      </c>
      <c r="C21" s="2" t="s">
        <v>320</v>
      </c>
      <c r="D21" s="2" t="s">
        <v>109</v>
      </c>
      <c r="E21" s="2" t="s">
        <v>15</v>
      </c>
      <c r="F21" s="2" t="s">
        <v>323</v>
      </c>
      <c r="G21" s="9" t="s">
        <v>1152</v>
      </c>
      <c r="H21" s="2" t="s">
        <v>1154</v>
      </c>
      <c r="I21" s="2" t="s">
        <v>108</v>
      </c>
      <c r="J21" s="2" t="s">
        <v>108</v>
      </c>
      <c r="K21" s="2" t="s">
        <v>328</v>
      </c>
      <c r="L21" s="2" t="s">
        <v>325</v>
      </c>
    </row>
    <row r="22" spans="1:12" ht="36" customHeight="1" x14ac:dyDescent="0.45">
      <c r="A22" s="2" t="s">
        <v>285</v>
      </c>
      <c r="B22" s="2" t="s">
        <v>287</v>
      </c>
      <c r="C22" s="2" t="s">
        <v>165</v>
      </c>
      <c r="D22" s="2" t="s">
        <v>109</v>
      </c>
      <c r="E22" s="2" t="s">
        <v>289</v>
      </c>
      <c r="F22" s="2" t="s">
        <v>290</v>
      </c>
      <c r="G22" s="9" t="s">
        <v>1152</v>
      </c>
      <c r="H22" s="2" t="s">
        <v>1154</v>
      </c>
      <c r="I22" s="2" t="s">
        <v>108</v>
      </c>
      <c r="J22" s="2" t="s">
        <v>108</v>
      </c>
      <c r="K22" s="2" t="s">
        <v>294</v>
      </c>
      <c r="L22" s="2" t="s">
        <v>112</v>
      </c>
    </row>
    <row r="23" spans="1:12" ht="36" customHeight="1" x14ac:dyDescent="0.45">
      <c r="A23" s="3" t="s">
        <v>980</v>
      </c>
      <c r="B23" s="3" t="s">
        <v>135</v>
      </c>
      <c r="C23" s="3" t="s">
        <v>136</v>
      </c>
      <c r="D23" s="3" t="s">
        <v>20</v>
      </c>
      <c r="E23" s="3" t="s">
        <v>15</v>
      </c>
      <c r="F23" s="3" t="s">
        <v>984</v>
      </c>
      <c r="G23" s="10" t="s">
        <v>1157</v>
      </c>
      <c r="H23" s="3" t="s">
        <v>1158</v>
      </c>
      <c r="I23" s="3" t="s">
        <v>989</v>
      </c>
      <c r="J23" s="3" t="s">
        <v>983</v>
      </c>
      <c r="K23" s="3" t="s">
        <v>990</v>
      </c>
      <c r="L23" s="3" t="s">
        <v>986</v>
      </c>
    </row>
    <row r="24" spans="1:12" ht="36" customHeight="1" x14ac:dyDescent="0.45">
      <c r="A24" s="3" t="s">
        <v>1029</v>
      </c>
      <c r="B24" s="3" t="s">
        <v>1030</v>
      </c>
      <c r="C24" s="3" t="s">
        <v>1031</v>
      </c>
      <c r="D24" s="3" t="s">
        <v>20</v>
      </c>
      <c r="E24" s="3" t="s">
        <v>15</v>
      </c>
      <c r="F24" s="3" t="s">
        <v>1035</v>
      </c>
      <c r="G24" s="10" t="s">
        <v>1157</v>
      </c>
      <c r="H24" s="3" t="s">
        <v>1158</v>
      </c>
      <c r="I24" s="3" t="s">
        <v>1034</v>
      </c>
      <c r="J24" s="3" t="s">
        <v>1034</v>
      </c>
      <c r="K24" s="3" t="s">
        <v>1039</v>
      </c>
      <c r="L24" s="3" t="s">
        <v>999</v>
      </c>
    </row>
    <row r="25" spans="1:12" ht="36" customHeight="1" x14ac:dyDescent="0.45">
      <c r="A25" s="3" t="s">
        <v>991</v>
      </c>
      <c r="B25" s="3" t="s">
        <v>993</v>
      </c>
      <c r="C25" s="3" t="s">
        <v>994</v>
      </c>
      <c r="D25" s="3" t="s">
        <v>20</v>
      </c>
      <c r="E25" s="3" t="s">
        <v>15</v>
      </c>
      <c r="F25" s="3" t="s">
        <v>997</v>
      </c>
      <c r="G25" s="10" t="s">
        <v>1157</v>
      </c>
      <c r="H25" s="3" t="s">
        <v>1158</v>
      </c>
      <c r="I25" s="3" t="s">
        <v>1002</v>
      </c>
      <c r="J25" s="3" t="s">
        <v>996</v>
      </c>
      <c r="K25" s="3" t="s">
        <v>1003</v>
      </c>
      <c r="L25" s="3" t="s">
        <v>999</v>
      </c>
    </row>
    <row r="26" spans="1:12" ht="36" customHeight="1" x14ac:dyDescent="0.45">
      <c r="A26" s="3" t="s">
        <v>149</v>
      </c>
      <c r="B26" s="3" t="s">
        <v>135</v>
      </c>
      <c r="C26" s="3" t="s">
        <v>151</v>
      </c>
      <c r="D26" s="3" t="s">
        <v>20</v>
      </c>
      <c r="E26" s="3" t="s">
        <v>15</v>
      </c>
      <c r="F26" s="3" t="s">
        <v>154</v>
      </c>
      <c r="G26" s="10" t="s">
        <v>1157</v>
      </c>
      <c r="H26" s="3" t="s">
        <v>1154</v>
      </c>
      <c r="I26" s="3" t="s">
        <v>108</v>
      </c>
      <c r="J26" s="3" t="s">
        <v>108</v>
      </c>
      <c r="K26" s="3" t="s">
        <v>161</v>
      </c>
      <c r="L26" s="3" t="s">
        <v>156</v>
      </c>
    </row>
    <row r="27" spans="1:12" ht="36" customHeight="1" x14ac:dyDescent="0.45">
      <c r="A27" s="3" t="s">
        <v>133</v>
      </c>
      <c r="B27" s="3" t="s">
        <v>135</v>
      </c>
      <c r="C27" s="3" t="s">
        <v>136</v>
      </c>
      <c r="D27" s="3" t="s">
        <v>20</v>
      </c>
      <c r="E27" s="3" t="s">
        <v>15</v>
      </c>
      <c r="F27" s="3" t="s">
        <v>140</v>
      </c>
      <c r="G27" s="10" t="s">
        <v>1157</v>
      </c>
      <c r="H27" s="3" t="s">
        <v>1159</v>
      </c>
      <c r="I27" s="3" t="s">
        <v>147</v>
      </c>
      <c r="J27" s="3" t="s">
        <v>139</v>
      </c>
      <c r="K27" s="3" t="s">
        <v>148</v>
      </c>
      <c r="L27" s="3" t="s">
        <v>142</v>
      </c>
    </row>
    <row r="28" spans="1:12" ht="36" customHeight="1" x14ac:dyDescent="0.45">
      <c r="A28" s="3" t="s">
        <v>932</v>
      </c>
      <c r="B28" s="3" t="s">
        <v>934</v>
      </c>
      <c r="C28" s="3" t="s">
        <v>935</v>
      </c>
      <c r="D28" s="3" t="s">
        <v>20</v>
      </c>
      <c r="E28" s="3" t="s">
        <v>21</v>
      </c>
      <c r="F28" s="3" t="s">
        <v>939</v>
      </c>
      <c r="G28" s="10" t="s">
        <v>1157</v>
      </c>
      <c r="H28" s="3" t="s">
        <v>1158</v>
      </c>
      <c r="I28" s="3" t="s">
        <v>944</v>
      </c>
      <c r="J28" s="3" t="s">
        <v>938</v>
      </c>
      <c r="K28" s="3" t="s">
        <v>945</v>
      </c>
      <c r="L28" s="3" t="s">
        <v>941</v>
      </c>
    </row>
    <row r="29" spans="1:12" ht="36" customHeight="1" x14ac:dyDescent="0.45">
      <c r="A29" s="3" t="s">
        <v>946</v>
      </c>
      <c r="B29" s="3" t="s">
        <v>948</v>
      </c>
      <c r="C29" s="3" t="s">
        <v>935</v>
      </c>
      <c r="D29" s="3" t="s">
        <v>20</v>
      </c>
      <c r="E29" s="3" t="s">
        <v>21</v>
      </c>
      <c r="F29" s="3" t="s">
        <v>951</v>
      </c>
      <c r="G29" s="10" t="s">
        <v>1157</v>
      </c>
      <c r="H29" s="3" t="s">
        <v>1158</v>
      </c>
      <c r="I29" s="3" t="s">
        <v>950</v>
      </c>
      <c r="J29" s="3" t="s">
        <v>950</v>
      </c>
      <c r="K29" s="3" t="s">
        <v>956</v>
      </c>
      <c r="L29" s="3" t="s">
        <v>953</v>
      </c>
    </row>
    <row r="30" spans="1:12" ht="36" customHeight="1" x14ac:dyDescent="0.45">
      <c r="A30" s="3" t="s">
        <v>306</v>
      </c>
      <c r="B30" s="3" t="s">
        <v>308</v>
      </c>
      <c r="C30" s="3" t="s">
        <v>165</v>
      </c>
      <c r="D30" s="3" t="s">
        <v>20</v>
      </c>
      <c r="E30" s="3" t="s">
        <v>21</v>
      </c>
      <c r="F30" s="3" t="s">
        <v>310</v>
      </c>
      <c r="G30" s="10" t="s">
        <v>1157</v>
      </c>
      <c r="H30" s="3" t="s">
        <v>1154</v>
      </c>
      <c r="I30" s="3" t="s">
        <v>315</v>
      </c>
      <c r="J30" s="3" t="s">
        <v>108</v>
      </c>
      <c r="K30" s="3" t="s">
        <v>316</v>
      </c>
      <c r="L30" s="3" t="s">
        <v>312</v>
      </c>
    </row>
    <row r="31" spans="1:12" ht="36" customHeight="1" x14ac:dyDescent="0.45">
      <c r="A31" s="3" t="s">
        <v>503</v>
      </c>
      <c r="B31" s="3" t="s">
        <v>505</v>
      </c>
      <c r="C31" s="3" t="s">
        <v>506</v>
      </c>
      <c r="D31" s="3" t="s">
        <v>20</v>
      </c>
      <c r="E31" s="3" t="s">
        <v>21</v>
      </c>
      <c r="F31" s="3" t="s">
        <v>510</v>
      </c>
      <c r="G31" s="10" t="s">
        <v>1157</v>
      </c>
      <c r="H31" s="3" t="s">
        <v>1158</v>
      </c>
      <c r="I31" s="3" t="s">
        <v>516</v>
      </c>
      <c r="J31" s="3" t="s">
        <v>509</v>
      </c>
      <c r="K31" s="3" t="s">
        <v>517</v>
      </c>
      <c r="L31" s="3" t="s">
        <v>512</v>
      </c>
    </row>
    <row r="32" spans="1:12" ht="36" customHeight="1" x14ac:dyDescent="0.45">
      <c r="A32" s="3" t="s">
        <v>1015</v>
      </c>
      <c r="B32" s="3" t="s">
        <v>1017</v>
      </c>
      <c r="C32" s="3" t="s">
        <v>457</v>
      </c>
      <c r="D32" s="3" t="s">
        <v>20</v>
      </c>
      <c r="E32" s="3" t="s">
        <v>21</v>
      </c>
      <c r="F32" s="3" t="s">
        <v>1020</v>
      </c>
      <c r="G32" s="10" t="s">
        <v>1157</v>
      </c>
      <c r="H32" s="3" t="s">
        <v>1158</v>
      </c>
      <c r="I32" s="3" t="s">
        <v>1027</v>
      </c>
      <c r="J32" s="3" t="s">
        <v>1019</v>
      </c>
      <c r="K32" s="3" t="s">
        <v>1028</v>
      </c>
      <c r="L32" s="3" t="s">
        <v>1022</v>
      </c>
    </row>
    <row r="33" spans="1:12" ht="36" customHeight="1" x14ac:dyDescent="0.45">
      <c r="A33" s="3" t="s">
        <v>900</v>
      </c>
      <c r="B33" s="3" t="s">
        <v>902</v>
      </c>
      <c r="C33" s="3" t="s">
        <v>903</v>
      </c>
      <c r="D33" s="3" t="s">
        <v>20</v>
      </c>
      <c r="E33" s="3" t="s">
        <v>21</v>
      </c>
      <c r="F33" s="3" t="s">
        <v>906</v>
      </c>
      <c r="G33" s="10" t="s">
        <v>1157</v>
      </c>
      <c r="H33" s="3" t="s">
        <v>1160</v>
      </c>
      <c r="I33" s="3" t="s">
        <v>913</v>
      </c>
      <c r="J33" s="3" t="s">
        <v>209</v>
      </c>
      <c r="K33" s="3" t="s">
        <v>914</v>
      </c>
      <c r="L33" s="3" t="s">
        <v>908</v>
      </c>
    </row>
    <row r="34" spans="1:12" ht="36" customHeight="1" x14ac:dyDescent="0.45">
      <c r="A34" s="3" t="s">
        <v>887</v>
      </c>
      <c r="B34" s="3" t="s">
        <v>889</v>
      </c>
      <c r="C34" s="3" t="s">
        <v>758</v>
      </c>
      <c r="D34" s="3" t="s">
        <v>20</v>
      </c>
      <c r="E34" s="3" t="s">
        <v>21</v>
      </c>
      <c r="F34" s="3" t="s">
        <v>892</v>
      </c>
      <c r="G34" s="10" t="s">
        <v>1157</v>
      </c>
      <c r="H34" s="3" t="s">
        <v>1158</v>
      </c>
      <c r="I34" s="3" t="s">
        <v>898</v>
      </c>
      <c r="J34" s="3" t="s">
        <v>891</v>
      </c>
      <c r="K34" s="3" t="s">
        <v>899</v>
      </c>
      <c r="L34" s="3" t="s">
        <v>894</v>
      </c>
    </row>
    <row r="35" spans="1:12" ht="36" customHeight="1" x14ac:dyDescent="0.45">
      <c r="A35" s="3" t="s">
        <v>343</v>
      </c>
      <c r="B35" s="3" t="s">
        <v>345</v>
      </c>
      <c r="C35" s="3" t="s">
        <v>346</v>
      </c>
      <c r="D35" s="3" t="s">
        <v>20</v>
      </c>
      <c r="E35" s="3" t="s">
        <v>21</v>
      </c>
      <c r="F35" s="3" t="s">
        <v>349</v>
      </c>
      <c r="G35" s="10" t="s">
        <v>1157</v>
      </c>
      <c r="H35" s="3" t="s">
        <v>1158</v>
      </c>
      <c r="I35" s="3" t="s">
        <v>353</v>
      </c>
      <c r="J35" s="3" t="s">
        <v>348</v>
      </c>
      <c r="K35" s="3" t="s">
        <v>354</v>
      </c>
      <c r="L35" s="3" t="s">
        <v>351</v>
      </c>
    </row>
    <row r="36" spans="1:12" ht="36" customHeight="1" x14ac:dyDescent="0.45">
      <c r="A36" s="3" t="s">
        <v>329</v>
      </c>
      <c r="B36" s="3" t="s">
        <v>331</v>
      </c>
      <c r="C36" s="3" t="s">
        <v>332</v>
      </c>
      <c r="D36" s="3" t="s">
        <v>20</v>
      </c>
      <c r="E36" s="3" t="s">
        <v>21</v>
      </c>
      <c r="F36" s="3" t="s">
        <v>336</v>
      </c>
      <c r="G36" s="10" t="s">
        <v>1157</v>
      </c>
      <c r="H36" s="3" t="s">
        <v>1158</v>
      </c>
      <c r="I36" s="3" t="s">
        <v>341</v>
      </c>
      <c r="J36" s="3" t="s">
        <v>335</v>
      </c>
      <c r="K36" s="3" t="s">
        <v>342</v>
      </c>
      <c r="L36" s="3" t="s">
        <v>338</v>
      </c>
    </row>
    <row r="37" spans="1:12" ht="36" customHeight="1" x14ac:dyDescent="0.45">
      <c r="A37" s="3" t="s">
        <v>118</v>
      </c>
      <c r="B37" s="3" t="s">
        <v>120</v>
      </c>
      <c r="C37" s="3" t="s">
        <v>121</v>
      </c>
      <c r="D37" s="3" t="s">
        <v>20</v>
      </c>
      <c r="E37" s="3" t="s">
        <v>27</v>
      </c>
      <c r="F37" s="3" t="s">
        <v>125</v>
      </c>
      <c r="G37" s="10" t="s">
        <v>1157</v>
      </c>
      <c r="H37" s="3" t="s">
        <v>1161</v>
      </c>
      <c r="I37" s="3" t="s">
        <v>131</v>
      </c>
      <c r="J37" s="3" t="s">
        <v>124</v>
      </c>
      <c r="K37" s="3" t="s">
        <v>132</v>
      </c>
      <c r="L37" s="3" t="s">
        <v>127</v>
      </c>
    </row>
    <row r="38" spans="1:12" ht="36" customHeight="1" x14ac:dyDescent="0.45">
      <c r="A38" s="3" t="s">
        <v>685</v>
      </c>
      <c r="B38" s="3" t="s">
        <v>687</v>
      </c>
      <c r="C38" s="3" t="s">
        <v>688</v>
      </c>
      <c r="D38" s="3" t="s">
        <v>693</v>
      </c>
      <c r="E38" s="3" t="s">
        <v>692</v>
      </c>
      <c r="F38" s="3" t="s">
        <v>694</v>
      </c>
      <c r="G38" s="10" t="s">
        <v>1157</v>
      </c>
      <c r="H38" s="3" t="s">
        <v>1162</v>
      </c>
      <c r="I38" s="3" t="s">
        <v>701</v>
      </c>
      <c r="J38" s="3" t="s">
        <v>691</v>
      </c>
      <c r="K38" s="3" t="s">
        <v>702</v>
      </c>
      <c r="L38" s="3" t="s">
        <v>696</v>
      </c>
    </row>
    <row r="39" spans="1:12" ht="36" customHeight="1" x14ac:dyDescent="0.45">
      <c r="A39" s="3" t="s">
        <v>454</v>
      </c>
      <c r="B39" s="3" t="s">
        <v>456</v>
      </c>
      <c r="C39" s="3" t="s">
        <v>457</v>
      </c>
      <c r="D39" s="3" t="s">
        <v>20</v>
      </c>
      <c r="E39" s="3" t="s">
        <v>461</v>
      </c>
      <c r="F39" s="3" t="s">
        <v>462</v>
      </c>
      <c r="G39" s="10" t="s">
        <v>1157</v>
      </c>
      <c r="H39" s="3" t="s">
        <v>1158</v>
      </c>
      <c r="I39" s="3" t="s">
        <v>469</v>
      </c>
      <c r="J39" s="3" t="s">
        <v>460</v>
      </c>
      <c r="K39" s="3" t="s">
        <v>470</v>
      </c>
      <c r="L39" s="3" t="s">
        <v>464</v>
      </c>
    </row>
    <row r="40" spans="1:12" ht="36" customHeight="1" x14ac:dyDescent="0.45">
      <c r="A40" s="4" t="s">
        <v>295</v>
      </c>
      <c r="B40" s="4" t="s">
        <v>297</v>
      </c>
      <c r="C40" s="4" t="s">
        <v>151</v>
      </c>
      <c r="D40" s="4" t="s">
        <v>210</v>
      </c>
      <c r="E40" s="4" t="s">
        <v>21</v>
      </c>
      <c r="F40" s="4" t="s">
        <v>299</v>
      </c>
      <c r="G40" s="11" t="s">
        <v>1163</v>
      </c>
      <c r="H40" s="4" t="s">
        <v>1154</v>
      </c>
      <c r="I40" s="4" t="s">
        <v>304</v>
      </c>
      <c r="J40" s="4" t="s">
        <v>108</v>
      </c>
      <c r="K40" s="4" t="s">
        <v>305</v>
      </c>
      <c r="L40" s="4" t="s">
        <v>301</v>
      </c>
    </row>
    <row r="41" spans="1:12" ht="36" customHeight="1" x14ac:dyDescent="0.45">
      <c r="A41" s="4" t="s">
        <v>847</v>
      </c>
      <c r="B41" s="4" t="s">
        <v>849</v>
      </c>
      <c r="C41" s="4" t="s">
        <v>850</v>
      </c>
      <c r="D41" s="4" t="s">
        <v>210</v>
      </c>
      <c r="E41" s="4" t="s">
        <v>21</v>
      </c>
      <c r="F41" s="4" t="s">
        <v>854</v>
      </c>
      <c r="G41" s="11" t="s">
        <v>1163</v>
      </c>
      <c r="H41" s="4" t="s">
        <v>1158</v>
      </c>
      <c r="I41" s="4" t="s">
        <v>861</v>
      </c>
      <c r="J41" s="4" t="s">
        <v>853</v>
      </c>
      <c r="K41" s="4" t="s">
        <v>862</v>
      </c>
      <c r="L41" s="4" t="s">
        <v>856</v>
      </c>
    </row>
    <row r="42" spans="1:12" ht="36" customHeight="1" x14ac:dyDescent="0.45">
      <c r="A42" s="4" t="s">
        <v>863</v>
      </c>
      <c r="B42" s="4" t="s">
        <v>849</v>
      </c>
      <c r="C42" s="4" t="s">
        <v>850</v>
      </c>
      <c r="D42" s="4" t="s">
        <v>210</v>
      </c>
      <c r="E42" s="4" t="s">
        <v>21</v>
      </c>
      <c r="F42" s="4" t="s">
        <v>866</v>
      </c>
      <c r="G42" s="11" t="s">
        <v>1163</v>
      </c>
      <c r="H42" s="4" t="s">
        <v>1164</v>
      </c>
      <c r="I42" s="4" t="s">
        <v>871</v>
      </c>
      <c r="J42" s="4" t="s">
        <v>865</v>
      </c>
      <c r="K42" s="4" t="s">
        <v>872</v>
      </c>
      <c r="L42" s="4" t="s">
        <v>868</v>
      </c>
    </row>
    <row r="43" spans="1:12" ht="36" customHeight="1" x14ac:dyDescent="0.45">
      <c r="A43" s="4" t="s">
        <v>873</v>
      </c>
      <c r="B43" s="4" t="s">
        <v>875</v>
      </c>
      <c r="C43" s="4" t="s">
        <v>876</v>
      </c>
      <c r="D43" s="4" t="s">
        <v>210</v>
      </c>
      <c r="E43" s="4" t="s">
        <v>21</v>
      </c>
      <c r="F43" s="4" t="s">
        <v>880</v>
      </c>
      <c r="G43" s="11" t="s">
        <v>1163</v>
      </c>
      <c r="H43" s="4" t="s">
        <v>1158</v>
      </c>
      <c r="I43" s="4" t="s">
        <v>885</v>
      </c>
      <c r="J43" s="4" t="s">
        <v>879</v>
      </c>
      <c r="K43" s="4" t="s">
        <v>886</v>
      </c>
      <c r="L43" s="4" t="s">
        <v>882</v>
      </c>
    </row>
    <row r="44" spans="1:12" ht="36" customHeight="1" x14ac:dyDescent="0.45">
      <c r="A44" s="4" t="s">
        <v>471</v>
      </c>
      <c r="B44" s="4" t="s">
        <v>473</v>
      </c>
      <c r="C44" s="4" t="s">
        <v>474</v>
      </c>
      <c r="D44" s="4" t="s">
        <v>210</v>
      </c>
      <c r="E44" s="4" t="s">
        <v>21</v>
      </c>
      <c r="F44" s="4" t="s">
        <v>478</v>
      </c>
      <c r="G44" s="11" t="s">
        <v>1163</v>
      </c>
      <c r="H44" s="4" t="s">
        <v>1158</v>
      </c>
      <c r="I44" s="4" t="s">
        <v>485</v>
      </c>
      <c r="J44" s="4" t="s">
        <v>477</v>
      </c>
      <c r="K44" s="4" t="s">
        <v>486</v>
      </c>
      <c r="L44" s="4" t="s">
        <v>480</v>
      </c>
    </row>
    <row r="45" spans="1:12" ht="36" customHeight="1" x14ac:dyDescent="0.45">
      <c r="A45" s="4" t="s">
        <v>915</v>
      </c>
      <c r="B45" s="4" t="s">
        <v>902</v>
      </c>
      <c r="C45" s="4" t="s">
        <v>620</v>
      </c>
      <c r="D45" s="4" t="s">
        <v>210</v>
      </c>
      <c r="E45" s="4" t="s">
        <v>21</v>
      </c>
      <c r="F45" s="4" t="s">
        <v>918</v>
      </c>
      <c r="G45" s="11" t="s">
        <v>1163</v>
      </c>
      <c r="H45" s="4" t="s">
        <v>1165</v>
      </c>
      <c r="I45" s="4" t="s">
        <v>924</v>
      </c>
      <c r="J45" s="4" t="s">
        <v>636</v>
      </c>
      <c r="K45" s="4" t="s">
        <v>925</v>
      </c>
      <c r="L45" s="4" t="s">
        <v>920</v>
      </c>
    </row>
    <row r="46" spans="1:12" ht="36" customHeight="1" x14ac:dyDescent="0.45">
      <c r="A46" s="4" t="s">
        <v>633</v>
      </c>
      <c r="B46" s="4" t="s">
        <v>619</v>
      </c>
      <c r="C46" s="4" t="s">
        <v>620</v>
      </c>
      <c r="D46" s="4" t="s">
        <v>210</v>
      </c>
      <c r="E46" s="4" t="s">
        <v>21</v>
      </c>
      <c r="F46" s="4" t="s">
        <v>637</v>
      </c>
      <c r="G46" s="11" t="s">
        <v>1163</v>
      </c>
      <c r="H46" s="4" t="s">
        <v>1165</v>
      </c>
      <c r="I46" s="4" t="s">
        <v>643</v>
      </c>
      <c r="J46" s="4" t="s">
        <v>636</v>
      </c>
      <c r="K46" s="4" t="s">
        <v>644</v>
      </c>
      <c r="L46" s="4" t="s">
        <v>639</v>
      </c>
    </row>
    <row r="47" spans="1:12" ht="36" customHeight="1" x14ac:dyDescent="0.45">
      <c r="A47" s="4" t="s">
        <v>617</v>
      </c>
      <c r="B47" s="4" t="s">
        <v>619</v>
      </c>
      <c r="C47" s="4" t="s">
        <v>620</v>
      </c>
      <c r="D47" s="4" t="s">
        <v>210</v>
      </c>
      <c r="E47" s="4" t="s">
        <v>21</v>
      </c>
      <c r="F47" s="4" t="s">
        <v>624</v>
      </c>
      <c r="G47" s="11" t="s">
        <v>1163</v>
      </c>
      <c r="H47" s="4" t="s">
        <v>1158</v>
      </c>
      <c r="I47" s="4" t="s">
        <v>631</v>
      </c>
      <c r="J47" s="4" t="s">
        <v>623</v>
      </c>
      <c r="K47" s="4" t="s">
        <v>632</v>
      </c>
      <c r="L47" s="4" t="s">
        <v>626</v>
      </c>
    </row>
    <row r="48" spans="1:12" ht="36" customHeight="1" x14ac:dyDescent="0.45">
      <c r="A48" s="4" t="s">
        <v>926</v>
      </c>
      <c r="B48" s="4" t="s">
        <v>927</v>
      </c>
      <c r="C48" s="4" t="s">
        <v>620</v>
      </c>
      <c r="D48" s="4" t="s">
        <v>210</v>
      </c>
      <c r="E48" s="4" t="s">
        <v>21</v>
      </c>
      <c r="F48" s="4" t="s">
        <v>929</v>
      </c>
      <c r="G48" s="11" t="s">
        <v>1163</v>
      </c>
      <c r="H48" s="4" t="s">
        <v>1160</v>
      </c>
      <c r="I48" s="4" t="s">
        <v>643</v>
      </c>
      <c r="J48" s="4" t="s">
        <v>209</v>
      </c>
      <c r="K48" s="4" t="s">
        <v>644</v>
      </c>
      <c r="L48" s="4" t="s">
        <v>931</v>
      </c>
    </row>
    <row r="49" spans="1:12" ht="36" customHeight="1" x14ac:dyDescent="0.45">
      <c r="A49" s="4" t="s">
        <v>487</v>
      </c>
      <c r="B49" s="4" t="s">
        <v>489</v>
      </c>
      <c r="C49" s="4" t="s">
        <v>490</v>
      </c>
      <c r="D49" s="4" t="s">
        <v>210</v>
      </c>
      <c r="E49" s="4" t="s">
        <v>27</v>
      </c>
      <c r="F49" s="4" t="s">
        <v>494</v>
      </c>
      <c r="G49" s="11" t="s">
        <v>1163</v>
      </c>
      <c r="H49" s="4" t="s">
        <v>1158</v>
      </c>
      <c r="I49" s="4" t="s">
        <v>501</v>
      </c>
      <c r="J49" s="4" t="s">
        <v>493</v>
      </c>
      <c r="K49" s="4" t="s">
        <v>502</v>
      </c>
      <c r="L49" s="4" t="s">
        <v>496</v>
      </c>
    </row>
    <row r="50" spans="1:12" ht="36" customHeight="1" x14ac:dyDescent="0.45">
      <c r="A50" s="4" t="s">
        <v>1068</v>
      </c>
      <c r="B50" s="4" t="s">
        <v>1070</v>
      </c>
      <c r="C50" s="4" t="s">
        <v>1071</v>
      </c>
      <c r="D50" s="4" t="s">
        <v>210</v>
      </c>
      <c r="E50" s="4" t="s">
        <v>27</v>
      </c>
      <c r="F50" s="4" t="s">
        <v>1075</v>
      </c>
      <c r="G50" s="11" t="s">
        <v>1163</v>
      </c>
      <c r="H50" s="4" t="s">
        <v>1158</v>
      </c>
      <c r="I50" s="4" t="s">
        <v>1079</v>
      </c>
      <c r="J50" s="4" t="s">
        <v>1074</v>
      </c>
      <c r="K50" s="4" t="s">
        <v>1080</v>
      </c>
      <c r="L50" s="4" t="s">
        <v>1077</v>
      </c>
    </row>
    <row r="51" spans="1:12" ht="36" customHeight="1" x14ac:dyDescent="0.45">
      <c r="A51" s="4" t="s">
        <v>587</v>
      </c>
      <c r="B51" s="4" t="s">
        <v>589</v>
      </c>
      <c r="C51" s="4" t="s">
        <v>121</v>
      </c>
      <c r="D51" s="4" t="s">
        <v>210</v>
      </c>
      <c r="E51" s="4" t="s">
        <v>27</v>
      </c>
      <c r="F51" s="4" t="s">
        <v>591</v>
      </c>
      <c r="G51" s="11" t="s">
        <v>1163</v>
      </c>
      <c r="H51" s="4" t="s">
        <v>1161</v>
      </c>
      <c r="I51" s="4" t="s">
        <v>597</v>
      </c>
      <c r="J51" s="4" t="s">
        <v>124</v>
      </c>
      <c r="K51" s="4" t="s">
        <v>598</v>
      </c>
      <c r="L51" s="4" t="s">
        <v>593</v>
      </c>
    </row>
    <row r="52" spans="1:12" ht="36" customHeight="1" x14ac:dyDescent="0.45">
      <c r="A52" s="4" t="s">
        <v>203</v>
      </c>
      <c r="B52" s="4" t="s">
        <v>205</v>
      </c>
      <c r="C52" s="4" t="s">
        <v>206</v>
      </c>
      <c r="D52" s="4" t="s">
        <v>210</v>
      </c>
      <c r="E52" s="4" t="s">
        <v>27</v>
      </c>
      <c r="F52" s="4" t="s">
        <v>211</v>
      </c>
      <c r="G52" s="11" t="s">
        <v>1163</v>
      </c>
      <c r="H52" s="4" t="s">
        <v>1160</v>
      </c>
      <c r="I52" s="4" t="s">
        <v>217</v>
      </c>
      <c r="J52" s="4" t="s">
        <v>209</v>
      </c>
      <c r="K52" s="4" t="s">
        <v>218</v>
      </c>
      <c r="L52" s="4" t="s">
        <v>213</v>
      </c>
    </row>
    <row r="53" spans="1:12" ht="36" customHeight="1" x14ac:dyDescent="0.45">
      <c r="A53" s="6" t="s">
        <v>1054</v>
      </c>
      <c r="B53" s="6" t="s">
        <v>1056</v>
      </c>
      <c r="C53" s="6" t="s">
        <v>1057</v>
      </c>
      <c r="D53" s="6" t="s">
        <v>652</v>
      </c>
      <c r="E53" s="6" t="s">
        <v>27</v>
      </c>
      <c r="F53" s="6" t="s">
        <v>1061</v>
      </c>
      <c r="G53" s="12" t="s">
        <v>1163</v>
      </c>
      <c r="H53" s="6" t="s">
        <v>1158</v>
      </c>
      <c r="I53" s="6" t="s">
        <v>1066</v>
      </c>
      <c r="J53" s="6" t="s">
        <v>1060</v>
      </c>
      <c r="K53" s="6" t="s">
        <v>1067</v>
      </c>
      <c r="L53" s="6" t="s">
        <v>1063</v>
      </c>
    </row>
    <row r="54" spans="1:12" ht="36" customHeight="1" x14ac:dyDescent="0.45">
      <c r="A54" s="6" t="s">
        <v>1081</v>
      </c>
      <c r="B54" s="6" t="s">
        <v>1083</v>
      </c>
      <c r="C54" s="6" t="s">
        <v>1084</v>
      </c>
      <c r="D54" s="6" t="s">
        <v>652</v>
      </c>
      <c r="E54" s="6" t="s">
        <v>27</v>
      </c>
      <c r="F54" s="6" t="s">
        <v>1088</v>
      </c>
      <c r="G54" s="12" t="s">
        <v>1163</v>
      </c>
      <c r="H54" s="6" t="s">
        <v>1158</v>
      </c>
      <c r="I54" s="6" t="s">
        <v>1093</v>
      </c>
      <c r="J54" s="6" t="s">
        <v>1087</v>
      </c>
      <c r="K54" s="6" t="s">
        <v>1094</v>
      </c>
      <c r="L54" s="6" t="s">
        <v>1090</v>
      </c>
    </row>
    <row r="55" spans="1:12" ht="36" customHeight="1" x14ac:dyDescent="0.45">
      <c r="A55" s="6" t="s">
        <v>741</v>
      </c>
      <c r="B55" s="6" t="s">
        <v>743</v>
      </c>
      <c r="C55" s="6" t="s">
        <v>457</v>
      </c>
      <c r="D55" s="6" t="s">
        <v>652</v>
      </c>
      <c r="E55" s="6" t="s">
        <v>33</v>
      </c>
      <c r="F55" s="6" t="s">
        <v>746</v>
      </c>
      <c r="G55" s="12" t="s">
        <v>1163</v>
      </c>
      <c r="H55" s="6" t="s">
        <v>1158</v>
      </c>
      <c r="I55" s="6" t="s">
        <v>753</v>
      </c>
      <c r="J55" s="6" t="s">
        <v>745</v>
      </c>
      <c r="K55" s="6" t="s">
        <v>754</v>
      </c>
      <c r="L55" s="6" t="s">
        <v>748</v>
      </c>
    </row>
    <row r="56" spans="1:12" ht="36" customHeight="1" x14ac:dyDescent="0.45">
      <c r="A56" s="6" t="s">
        <v>645</v>
      </c>
      <c r="B56" s="6" t="s">
        <v>647</v>
      </c>
      <c r="C56" s="6" t="s">
        <v>648</v>
      </c>
      <c r="D56" s="6" t="s">
        <v>652</v>
      </c>
      <c r="E56" s="6" t="s">
        <v>651</v>
      </c>
      <c r="F56" s="6" t="s">
        <v>653</v>
      </c>
      <c r="G56" s="12" t="s">
        <v>1163</v>
      </c>
      <c r="H56" s="6" t="s">
        <v>1154</v>
      </c>
      <c r="I56" s="6" t="s">
        <v>108</v>
      </c>
      <c r="J56" s="6" t="s">
        <v>108</v>
      </c>
      <c r="K56" s="6" t="s">
        <v>659</v>
      </c>
      <c r="L56" s="6" t="s">
        <v>655</v>
      </c>
    </row>
    <row r="57" spans="1:12" ht="36" customHeight="1" x14ac:dyDescent="0.45">
      <c r="A57" s="3" t="s">
        <v>815</v>
      </c>
      <c r="B57" s="3" t="s">
        <v>817</v>
      </c>
      <c r="C57" s="3" t="s">
        <v>818</v>
      </c>
      <c r="D57" s="3" t="s">
        <v>822</v>
      </c>
      <c r="E57" s="3" t="s">
        <v>33</v>
      </c>
      <c r="F57" s="3" t="s">
        <v>823</v>
      </c>
      <c r="G57" s="10" t="s">
        <v>1163</v>
      </c>
      <c r="H57" s="3" t="s">
        <v>1158</v>
      </c>
      <c r="I57" s="3" t="s">
        <v>830</v>
      </c>
      <c r="J57" s="3" t="s">
        <v>821</v>
      </c>
      <c r="K57" s="3" t="s">
        <v>831</v>
      </c>
      <c r="L57" s="3" t="s">
        <v>825</v>
      </c>
    </row>
    <row r="58" spans="1:12" ht="36" customHeight="1" x14ac:dyDescent="0.45">
      <c r="A58" s="3" t="s">
        <v>832</v>
      </c>
      <c r="B58" s="3" t="s">
        <v>834</v>
      </c>
      <c r="C58" s="3" t="s">
        <v>835</v>
      </c>
      <c r="D58" s="3" t="s">
        <v>838</v>
      </c>
      <c r="E58" s="3" t="s">
        <v>33</v>
      </c>
      <c r="F58" s="3" t="s">
        <v>839</v>
      </c>
      <c r="G58" s="10" t="s">
        <v>1163</v>
      </c>
      <c r="H58" s="3" t="s">
        <v>1158</v>
      </c>
      <c r="I58" s="3" t="s">
        <v>845</v>
      </c>
      <c r="J58" s="3" t="s">
        <v>837</v>
      </c>
      <c r="K58" s="3" t="s">
        <v>846</v>
      </c>
      <c r="L58" s="3" t="s">
        <v>841</v>
      </c>
    </row>
    <row r="59" spans="1:12" ht="36" customHeight="1" x14ac:dyDescent="0.45">
      <c r="A59" s="5" t="s">
        <v>355</v>
      </c>
      <c r="B59" s="5" t="s">
        <v>357</v>
      </c>
      <c r="C59" s="5" t="s">
        <v>358</v>
      </c>
      <c r="D59" s="5" t="s">
        <v>32</v>
      </c>
      <c r="E59" s="5" t="s">
        <v>21</v>
      </c>
      <c r="F59" s="5" t="s">
        <v>362</v>
      </c>
      <c r="G59" s="13" t="s">
        <v>1166</v>
      </c>
      <c r="H59" s="5" t="s">
        <v>1158</v>
      </c>
      <c r="I59" s="5" t="s">
        <v>341</v>
      </c>
      <c r="J59" s="5" t="s">
        <v>361</v>
      </c>
      <c r="K59" s="5" t="s">
        <v>367</v>
      </c>
      <c r="L59" s="5" t="s">
        <v>364</v>
      </c>
    </row>
    <row r="60" spans="1:12" ht="36" customHeight="1" x14ac:dyDescent="0.45">
      <c r="A60" s="5" t="s">
        <v>1095</v>
      </c>
      <c r="B60" s="5" t="s">
        <v>1097</v>
      </c>
      <c r="C60" s="5" t="s">
        <v>358</v>
      </c>
      <c r="D60" s="5" t="s">
        <v>32</v>
      </c>
      <c r="E60" s="5" t="s">
        <v>21</v>
      </c>
      <c r="F60" s="5" t="s">
        <v>1099</v>
      </c>
      <c r="G60" s="13" t="s">
        <v>1166</v>
      </c>
      <c r="H60" s="5" t="s">
        <v>1158</v>
      </c>
      <c r="I60" s="5" t="s">
        <v>341</v>
      </c>
      <c r="J60" s="5" t="s">
        <v>1098</v>
      </c>
      <c r="K60" s="5" t="s">
        <v>1104</v>
      </c>
      <c r="L60" s="5" t="s">
        <v>1101</v>
      </c>
    </row>
    <row r="61" spans="1:12" ht="36" customHeight="1" x14ac:dyDescent="0.45">
      <c r="A61" s="5" t="s">
        <v>219</v>
      </c>
      <c r="B61" s="5" t="s">
        <v>221</v>
      </c>
      <c r="C61" s="5" t="s">
        <v>222</v>
      </c>
      <c r="D61" s="5" t="s">
        <v>32</v>
      </c>
      <c r="E61" s="5" t="s">
        <v>27</v>
      </c>
      <c r="F61" s="5" t="s">
        <v>226</v>
      </c>
      <c r="G61" s="13" t="s">
        <v>1166</v>
      </c>
      <c r="H61" s="5" t="s">
        <v>1155</v>
      </c>
      <c r="I61" s="5" t="s">
        <v>232</v>
      </c>
      <c r="J61" s="5" t="s">
        <v>225</v>
      </c>
      <c r="K61" s="5" t="s">
        <v>233</v>
      </c>
      <c r="L61" s="5" t="s">
        <v>228</v>
      </c>
    </row>
    <row r="62" spans="1:12" ht="36" customHeight="1" x14ac:dyDescent="0.45">
      <c r="A62" s="5" t="s">
        <v>547</v>
      </c>
      <c r="B62" s="5" t="s">
        <v>549</v>
      </c>
      <c r="C62" s="5" t="s">
        <v>550</v>
      </c>
      <c r="D62" s="5" t="s">
        <v>32</v>
      </c>
      <c r="E62" s="5" t="s">
        <v>27</v>
      </c>
      <c r="F62" s="5" t="s">
        <v>553</v>
      </c>
      <c r="G62" s="13" t="s">
        <v>1166</v>
      </c>
      <c r="H62" s="5" t="s">
        <v>1158</v>
      </c>
      <c r="I62" s="5" t="s">
        <v>558</v>
      </c>
      <c r="J62" s="5" t="s">
        <v>524</v>
      </c>
      <c r="K62" s="5" t="s">
        <v>559</v>
      </c>
      <c r="L62" s="5" t="s">
        <v>555</v>
      </c>
    </row>
    <row r="63" spans="1:12" ht="36" customHeight="1" x14ac:dyDescent="0.45">
      <c r="A63" s="5" t="s">
        <v>1004</v>
      </c>
      <c r="B63" s="5" t="s">
        <v>1006</v>
      </c>
      <c r="C63" s="5" t="s">
        <v>222</v>
      </c>
      <c r="D63" s="5" t="s">
        <v>32</v>
      </c>
      <c r="E63" s="5" t="s">
        <v>27</v>
      </c>
      <c r="F63" s="5" t="s">
        <v>226</v>
      </c>
      <c r="G63" s="13" t="s">
        <v>1166</v>
      </c>
      <c r="H63" s="5" t="s">
        <v>1155</v>
      </c>
      <c r="I63" s="5" t="s">
        <v>1013</v>
      </c>
      <c r="J63" s="5" t="s">
        <v>225</v>
      </c>
      <c r="K63" s="5" t="s">
        <v>1014</v>
      </c>
      <c r="L63" s="5" t="s">
        <v>228</v>
      </c>
    </row>
    <row r="64" spans="1:12" ht="36" customHeight="1" x14ac:dyDescent="0.45">
      <c r="A64" s="5" t="s">
        <v>518</v>
      </c>
      <c r="B64" s="5" t="s">
        <v>520</v>
      </c>
      <c r="C64" s="5" t="s">
        <v>521</v>
      </c>
      <c r="D64" s="5" t="s">
        <v>32</v>
      </c>
      <c r="E64" s="5" t="s">
        <v>27</v>
      </c>
      <c r="F64" s="5" t="s">
        <v>525</v>
      </c>
      <c r="G64" s="13" t="s">
        <v>1166</v>
      </c>
      <c r="H64" s="5" t="s">
        <v>1158</v>
      </c>
      <c r="I64" s="5" t="s">
        <v>532</v>
      </c>
      <c r="J64" s="5" t="s">
        <v>524</v>
      </c>
      <c r="K64" s="5" t="s">
        <v>533</v>
      </c>
      <c r="L64" s="5" t="s">
        <v>527</v>
      </c>
    </row>
    <row r="65" spans="1:12" ht="36" customHeight="1" x14ac:dyDescent="0.45">
      <c r="A65" s="5" t="s">
        <v>574</v>
      </c>
      <c r="B65" s="5" t="s">
        <v>575</v>
      </c>
      <c r="C65" s="5" t="s">
        <v>576</v>
      </c>
      <c r="D65" s="5" t="s">
        <v>32</v>
      </c>
      <c r="E65" s="5" t="s">
        <v>33</v>
      </c>
      <c r="F65" s="5" t="s">
        <v>580</v>
      </c>
      <c r="G65" s="13" t="s">
        <v>1166</v>
      </c>
      <c r="H65" s="5" t="s">
        <v>1158</v>
      </c>
      <c r="I65" s="5" t="s">
        <v>585</v>
      </c>
      <c r="J65" s="5" t="s">
        <v>579</v>
      </c>
      <c r="K65" s="5" t="s">
        <v>586</v>
      </c>
      <c r="L65" s="5" t="s">
        <v>582</v>
      </c>
    </row>
    <row r="66" spans="1:12" ht="36" customHeight="1" x14ac:dyDescent="0.45">
      <c r="A66" s="5" t="s">
        <v>718</v>
      </c>
      <c r="B66" s="5" t="s">
        <v>720</v>
      </c>
      <c r="C66" s="5" t="s">
        <v>688</v>
      </c>
      <c r="D66" s="5" t="s">
        <v>32</v>
      </c>
      <c r="E66" s="5" t="s">
        <v>722</v>
      </c>
      <c r="F66" s="5" t="s">
        <v>723</v>
      </c>
      <c r="G66" s="13" t="s">
        <v>1166</v>
      </c>
      <c r="H66" s="5" t="s">
        <v>1155</v>
      </c>
      <c r="I66" s="5" t="s">
        <v>730</v>
      </c>
      <c r="J66" s="5" t="s">
        <v>225</v>
      </c>
      <c r="K66" s="5" t="s">
        <v>731</v>
      </c>
      <c r="L66" s="5" t="s">
        <v>725</v>
      </c>
    </row>
    <row r="67" spans="1:12" ht="36" customHeight="1" x14ac:dyDescent="0.45">
      <c r="A67" s="5" t="s">
        <v>803</v>
      </c>
      <c r="B67" s="5" t="s">
        <v>805</v>
      </c>
      <c r="C67" s="5" t="s">
        <v>806</v>
      </c>
      <c r="D67" s="5" t="s">
        <v>32</v>
      </c>
      <c r="E67" s="5" t="s">
        <v>33</v>
      </c>
      <c r="F67" s="5" t="s">
        <v>760</v>
      </c>
      <c r="G67" s="13" t="s">
        <v>1166</v>
      </c>
      <c r="H67" s="5" t="s">
        <v>1158</v>
      </c>
      <c r="I67" s="5" t="s">
        <v>558</v>
      </c>
      <c r="J67" s="5" t="s">
        <v>524</v>
      </c>
      <c r="K67" s="5" t="s">
        <v>814</v>
      </c>
      <c r="L67" s="5" t="s">
        <v>810</v>
      </c>
    </row>
    <row r="68" spans="1:12" ht="36" customHeight="1" x14ac:dyDescent="0.45">
      <c r="A68" s="5" t="s">
        <v>1116</v>
      </c>
      <c r="B68" s="5" t="s">
        <v>1118</v>
      </c>
      <c r="C68" s="5" t="s">
        <v>1119</v>
      </c>
      <c r="D68" s="5" t="s">
        <v>32</v>
      </c>
      <c r="E68" s="5" t="s">
        <v>33</v>
      </c>
      <c r="F68" s="5" t="s">
        <v>1123</v>
      </c>
      <c r="G68" s="13" t="s">
        <v>1166</v>
      </c>
      <c r="H68" s="5" t="s">
        <v>1158</v>
      </c>
      <c r="I68" s="5" t="s">
        <v>341</v>
      </c>
      <c r="J68" s="5" t="s">
        <v>1122</v>
      </c>
      <c r="K68" s="5" t="s">
        <v>1128</v>
      </c>
      <c r="L68" s="5" t="s">
        <v>1125</v>
      </c>
    </row>
    <row r="69" spans="1:12" ht="36" customHeight="1" x14ac:dyDescent="0.45">
      <c r="A69" s="5" t="s">
        <v>1129</v>
      </c>
      <c r="B69" s="5" t="s">
        <v>1130</v>
      </c>
      <c r="C69" s="5" t="s">
        <v>1131</v>
      </c>
      <c r="D69" s="5" t="s">
        <v>32</v>
      </c>
      <c r="E69" s="5" t="s">
        <v>33</v>
      </c>
      <c r="F69" s="5" t="s">
        <v>1135</v>
      </c>
      <c r="G69" s="13" t="s">
        <v>1166</v>
      </c>
      <c r="H69" s="5" t="s">
        <v>1158</v>
      </c>
      <c r="I69" s="5" t="s">
        <v>1140</v>
      </c>
      <c r="J69" s="5" t="s">
        <v>1134</v>
      </c>
      <c r="K69" s="5" t="s">
        <v>1141</v>
      </c>
      <c r="L69" s="5" t="s">
        <v>1137</v>
      </c>
    </row>
    <row r="70" spans="1:12" ht="36" customHeight="1" x14ac:dyDescent="0.45">
      <c r="A70" s="5" t="s">
        <v>411</v>
      </c>
      <c r="B70" s="5" t="s">
        <v>413</v>
      </c>
      <c r="C70" s="5" t="s">
        <v>414</v>
      </c>
      <c r="D70" s="5" t="s">
        <v>32</v>
      </c>
      <c r="E70" s="5" t="s">
        <v>33</v>
      </c>
      <c r="F70" s="5" t="s">
        <v>418</v>
      </c>
      <c r="G70" s="13" t="s">
        <v>1166</v>
      </c>
      <c r="H70" s="5" t="s">
        <v>1158</v>
      </c>
      <c r="I70" s="5" t="s">
        <v>424</v>
      </c>
      <c r="J70" s="5" t="s">
        <v>417</v>
      </c>
      <c r="K70" s="5" t="s">
        <v>425</v>
      </c>
      <c r="L70" s="5" t="s">
        <v>420</v>
      </c>
    </row>
    <row r="71" spans="1:12" ht="36" customHeight="1" x14ac:dyDescent="0.45">
      <c r="A71" s="5" t="s">
        <v>732</v>
      </c>
      <c r="B71" s="5" t="s">
        <v>720</v>
      </c>
      <c r="C71" s="5" t="s">
        <v>688</v>
      </c>
      <c r="D71" s="5" t="s">
        <v>32</v>
      </c>
      <c r="E71" s="5" t="s">
        <v>735</v>
      </c>
      <c r="F71" s="5" t="s">
        <v>736</v>
      </c>
      <c r="G71" s="13" t="s">
        <v>1166</v>
      </c>
      <c r="H71" s="5" t="s">
        <v>1155</v>
      </c>
      <c r="I71" s="5" t="s">
        <v>225</v>
      </c>
      <c r="J71" s="5" t="s">
        <v>225</v>
      </c>
      <c r="K71" s="5" t="s">
        <v>740</v>
      </c>
      <c r="L71" s="5" t="s">
        <v>738</v>
      </c>
    </row>
    <row r="72" spans="1:12" ht="36" customHeight="1" x14ac:dyDescent="0.45">
      <c r="A72" s="5" t="s">
        <v>755</v>
      </c>
      <c r="B72" s="5" t="s">
        <v>757</v>
      </c>
      <c r="C72" s="5" t="s">
        <v>758</v>
      </c>
      <c r="D72" s="5" t="s">
        <v>32</v>
      </c>
      <c r="E72" s="5" t="s">
        <v>33</v>
      </c>
      <c r="F72" s="5" t="s">
        <v>760</v>
      </c>
      <c r="G72" s="13" t="s">
        <v>1166</v>
      </c>
      <c r="H72" s="5" t="s">
        <v>1160</v>
      </c>
      <c r="I72" s="5" t="s">
        <v>558</v>
      </c>
      <c r="J72" s="5" t="s">
        <v>209</v>
      </c>
      <c r="K72" s="5" t="s">
        <v>765</v>
      </c>
      <c r="L72" s="5" t="s">
        <v>762</v>
      </c>
    </row>
    <row r="73" spans="1:12" ht="36" customHeight="1" x14ac:dyDescent="0.45">
      <c r="A73" s="5" t="s">
        <v>766</v>
      </c>
      <c r="B73" s="5" t="s">
        <v>757</v>
      </c>
      <c r="C73" s="5" t="s">
        <v>768</v>
      </c>
      <c r="D73" s="5" t="s">
        <v>771</v>
      </c>
      <c r="E73" s="5" t="s">
        <v>33</v>
      </c>
      <c r="F73" s="5" t="s">
        <v>445</v>
      </c>
      <c r="G73" s="13" t="s">
        <v>1166</v>
      </c>
      <c r="H73" s="5" t="s">
        <v>1155</v>
      </c>
      <c r="I73" s="5" t="s">
        <v>777</v>
      </c>
      <c r="J73" s="5" t="s">
        <v>225</v>
      </c>
      <c r="K73" s="5" t="s">
        <v>778</v>
      </c>
      <c r="L73" s="5" t="s">
        <v>773</v>
      </c>
    </row>
    <row r="74" spans="1:12" ht="36" customHeight="1" x14ac:dyDescent="0.45">
      <c r="A74" s="5" t="s">
        <v>791</v>
      </c>
      <c r="B74" s="5" t="s">
        <v>793</v>
      </c>
      <c r="C74" s="5" t="s">
        <v>563</v>
      </c>
      <c r="D74" s="5" t="s">
        <v>32</v>
      </c>
      <c r="E74" s="5" t="s">
        <v>33</v>
      </c>
      <c r="F74" s="5" t="s">
        <v>567</v>
      </c>
      <c r="G74" s="13" t="s">
        <v>1166</v>
      </c>
      <c r="H74" s="5" t="s">
        <v>1158</v>
      </c>
      <c r="I74" s="5" t="s">
        <v>801</v>
      </c>
      <c r="J74" s="5" t="s">
        <v>795</v>
      </c>
      <c r="K74" s="5" t="s">
        <v>802</v>
      </c>
      <c r="L74" s="5" t="s">
        <v>797</v>
      </c>
    </row>
    <row r="75" spans="1:12" ht="36" customHeight="1" x14ac:dyDescent="0.45">
      <c r="A75" s="5" t="s">
        <v>560</v>
      </c>
      <c r="B75" s="5" t="s">
        <v>562</v>
      </c>
      <c r="C75" s="5" t="s">
        <v>563</v>
      </c>
      <c r="D75" s="5" t="s">
        <v>32</v>
      </c>
      <c r="E75" s="5" t="s">
        <v>33</v>
      </c>
      <c r="F75" s="5" t="s">
        <v>567</v>
      </c>
      <c r="G75" s="13" t="s">
        <v>1166</v>
      </c>
      <c r="H75" s="5" t="s">
        <v>1158</v>
      </c>
      <c r="I75" s="5" t="s">
        <v>558</v>
      </c>
      <c r="J75" s="5" t="s">
        <v>566</v>
      </c>
      <c r="K75" s="5" t="s">
        <v>573</v>
      </c>
      <c r="L75" s="5" t="s">
        <v>569</v>
      </c>
    </row>
    <row r="76" spans="1:12" ht="36" customHeight="1" x14ac:dyDescent="0.45">
      <c r="A76" s="5" t="s">
        <v>426</v>
      </c>
      <c r="B76" s="5" t="s">
        <v>413</v>
      </c>
      <c r="C76" s="5" t="s">
        <v>428</v>
      </c>
      <c r="D76" s="5" t="s">
        <v>32</v>
      </c>
      <c r="E76" s="5" t="s">
        <v>33</v>
      </c>
      <c r="F76" s="5" t="s">
        <v>432</v>
      </c>
      <c r="G76" s="13" t="s">
        <v>1166</v>
      </c>
      <c r="H76" s="5" t="s">
        <v>1158</v>
      </c>
      <c r="I76" s="5" t="s">
        <v>437</v>
      </c>
      <c r="J76" s="5" t="s">
        <v>431</v>
      </c>
      <c r="K76" s="5" t="s">
        <v>438</v>
      </c>
      <c r="L76" s="5" t="s">
        <v>434</v>
      </c>
    </row>
    <row r="77" spans="1:12" ht="36" customHeight="1" x14ac:dyDescent="0.45">
      <c r="A77" s="5" t="s">
        <v>439</v>
      </c>
      <c r="B77" s="5" t="s">
        <v>441</v>
      </c>
      <c r="C77" s="5" t="s">
        <v>442</v>
      </c>
      <c r="D77" s="5" t="s">
        <v>32</v>
      </c>
      <c r="E77" s="5" t="s">
        <v>33</v>
      </c>
      <c r="F77" s="5" t="s">
        <v>445</v>
      </c>
      <c r="G77" s="13" t="s">
        <v>1166</v>
      </c>
      <c r="H77" s="5" t="s">
        <v>1155</v>
      </c>
      <c r="I77" s="5" t="s">
        <v>452</v>
      </c>
      <c r="J77" s="5" t="s">
        <v>225</v>
      </c>
      <c r="K77" s="5" t="s">
        <v>453</v>
      </c>
      <c r="L77" s="5" t="s">
        <v>447</v>
      </c>
    </row>
    <row r="78" spans="1:12" ht="36" customHeight="1" x14ac:dyDescent="0.45">
      <c r="A78" s="5" t="s">
        <v>779</v>
      </c>
      <c r="B78" s="5" t="s">
        <v>781</v>
      </c>
      <c r="C78" s="5" t="s">
        <v>442</v>
      </c>
      <c r="D78" s="5" t="s">
        <v>32</v>
      </c>
      <c r="E78" s="5" t="s">
        <v>33</v>
      </c>
      <c r="F78" s="5" t="s">
        <v>783</v>
      </c>
      <c r="G78" s="13" t="s">
        <v>1166</v>
      </c>
      <c r="H78" s="5" t="s">
        <v>1155</v>
      </c>
      <c r="I78" s="5" t="s">
        <v>789</v>
      </c>
      <c r="J78" s="5" t="s">
        <v>225</v>
      </c>
      <c r="K78" s="5" t="s">
        <v>790</v>
      </c>
      <c r="L78" s="5" t="s">
        <v>785</v>
      </c>
    </row>
    <row r="79" spans="1:12" ht="36" customHeight="1" x14ac:dyDescent="0.45">
      <c r="A79" s="5" t="s">
        <v>534</v>
      </c>
      <c r="B79" s="5" t="s">
        <v>536</v>
      </c>
      <c r="C79" s="5" t="s">
        <v>537</v>
      </c>
      <c r="D79" s="5" t="s">
        <v>32</v>
      </c>
      <c r="E79" s="5" t="s">
        <v>33</v>
      </c>
      <c r="F79" s="5" t="s">
        <v>539</v>
      </c>
      <c r="G79" s="13" t="s">
        <v>1166</v>
      </c>
      <c r="H79" s="5" t="s">
        <v>1158</v>
      </c>
      <c r="I79" s="5" t="s">
        <v>545</v>
      </c>
      <c r="J79" s="5" t="s">
        <v>460</v>
      </c>
      <c r="K79" s="5" t="s">
        <v>546</v>
      </c>
      <c r="L79" s="5" t="s">
        <v>541</v>
      </c>
    </row>
    <row r="80" spans="1:12" ht="36" customHeight="1" x14ac:dyDescent="0.45">
      <c r="A80" s="5" t="s">
        <v>1040</v>
      </c>
      <c r="B80" s="5" t="s">
        <v>1042</v>
      </c>
      <c r="C80" s="5" t="s">
        <v>1043</v>
      </c>
      <c r="D80" s="5" t="s">
        <v>32</v>
      </c>
      <c r="E80" s="5" t="s">
        <v>33</v>
      </c>
      <c r="F80" s="5" t="s">
        <v>1046</v>
      </c>
      <c r="G80" s="13" t="s">
        <v>1166</v>
      </c>
      <c r="H80" s="5" t="s">
        <v>1158</v>
      </c>
      <c r="I80" s="5" t="s">
        <v>1052</v>
      </c>
      <c r="J80" s="5" t="s">
        <v>477</v>
      </c>
      <c r="K80" s="5" t="s">
        <v>1053</v>
      </c>
      <c r="L80" s="5" t="s">
        <v>1048</v>
      </c>
    </row>
    <row r="81" spans="1:12" ht="36" customHeight="1" x14ac:dyDescent="0.45">
      <c r="A81" s="7" t="s">
        <v>703</v>
      </c>
      <c r="B81" s="7" t="s">
        <v>705</v>
      </c>
      <c r="C81" s="7" t="s">
        <v>688</v>
      </c>
      <c r="D81" s="7" t="s">
        <v>708</v>
      </c>
      <c r="E81" s="7" t="s">
        <v>707</v>
      </c>
      <c r="F81" s="7" t="s">
        <v>709</v>
      </c>
      <c r="G81" s="14" t="s">
        <v>1166</v>
      </c>
      <c r="H81" s="7" t="s">
        <v>1155</v>
      </c>
      <c r="I81" s="7" t="s">
        <v>716</v>
      </c>
      <c r="J81" s="7" t="s">
        <v>225</v>
      </c>
      <c r="K81" s="7" t="s">
        <v>717</v>
      </c>
      <c r="L81" s="7" t="s">
        <v>711</v>
      </c>
    </row>
    <row r="82" spans="1:12" ht="36" customHeight="1" x14ac:dyDescent="0.45">
      <c r="A82" s="5" t="s">
        <v>263</v>
      </c>
      <c r="B82" s="5" t="s">
        <v>265</v>
      </c>
      <c r="C82" s="5" t="s">
        <v>266</v>
      </c>
      <c r="D82" s="5" t="s">
        <v>254</v>
      </c>
      <c r="E82" s="5" t="s">
        <v>33</v>
      </c>
      <c r="F82" s="5" t="s">
        <v>267</v>
      </c>
      <c r="G82" s="13" t="s">
        <v>1167</v>
      </c>
      <c r="H82" s="5" t="s">
        <v>1155</v>
      </c>
      <c r="I82" s="5" t="s">
        <v>272</v>
      </c>
      <c r="J82" s="5" t="s">
        <v>225</v>
      </c>
      <c r="K82" s="5" t="s">
        <v>273</v>
      </c>
      <c r="L82" s="5" t="s">
        <v>269</v>
      </c>
    </row>
    <row r="83" spans="1:12" ht="36" customHeight="1" x14ac:dyDescent="0.45">
      <c r="A83" s="5" t="s">
        <v>250</v>
      </c>
      <c r="B83" s="5" t="s">
        <v>252</v>
      </c>
      <c r="C83" s="5" t="s">
        <v>151</v>
      </c>
      <c r="D83" s="5" t="s">
        <v>254</v>
      </c>
      <c r="E83" s="5" t="s">
        <v>33</v>
      </c>
      <c r="F83" s="5" t="s">
        <v>255</v>
      </c>
      <c r="G83" s="13" t="s">
        <v>1167</v>
      </c>
      <c r="H83" s="5" t="s">
        <v>1154</v>
      </c>
      <c r="I83" s="5" t="s">
        <v>261</v>
      </c>
      <c r="J83" s="5" t="s">
        <v>108</v>
      </c>
      <c r="K83" s="5" t="s">
        <v>262</v>
      </c>
      <c r="L83" s="5" t="s">
        <v>257</v>
      </c>
    </row>
  </sheetData>
  <mergeCells count="2">
    <mergeCell ref="A2:L2"/>
    <mergeCell ref="A1:L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P33"/>
  <sheetViews>
    <sheetView workbookViewId="0">
      <pane ySplit="2" topLeftCell="A3" activePane="bottomLeft" state="frozen"/>
      <selection pane="bottomLeft" sqref="A1:P1"/>
    </sheetView>
  </sheetViews>
  <sheetFormatPr defaultRowHeight="14.25" x14ac:dyDescent="0.45"/>
  <cols>
    <col min="1" max="1" width="18" customWidth="1"/>
    <col min="2" max="2" width="12" customWidth="1"/>
    <col min="3" max="4" width="10" customWidth="1"/>
    <col min="5" max="5" width="15" customWidth="1"/>
    <col min="6" max="6" width="12" customWidth="1"/>
    <col min="7" max="7" width="22" customWidth="1"/>
    <col min="8" max="8" width="18" customWidth="1"/>
    <col min="9" max="9" width="25" customWidth="1"/>
    <col min="10" max="11" width="12" customWidth="1"/>
    <col min="12" max="12" width="35" customWidth="1"/>
    <col min="13" max="13" width="18" customWidth="1"/>
    <col min="14" max="14" width="15" customWidth="1"/>
    <col min="15" max="15" width="45" customWidth="1"/>
    <col min="16" max="16" width="38" customWidth="1"/>
  </cols>
  <sheetData>
    <row r="1" spans="1:16" ht="22.05" customHeight="1" x14ac:dyDescent="0.45">
      <c r="A1" s="44" t="s">
        <v>1168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16" ht="20" customHeight="1" x14ac:dyDescent="0.45">
      <c r="A2" s="15" t="s">
        <v>1169</v>
      </c>
      <c r="B2" s="15" t="s">
        <v>1170</v>
      </c>
      <c r="C2" s="15" t="s">
        <v>1171</v>
      </c>
      <c r="D2" s="15" t="s">
        <v>1172</v>
      </c>
      <c r="E2" s="15" t="s">
        <v>88</v>
      </c>
      <c r="F2" s="15" t="s">
        <v>1173</v>
      </c>
      <c r="G2" s="15" t="s">
        <v>1174</v>
      </c>
      <c r="H2" s="15" t="s">
        <v>1175</v>
      </c>
      <c r="I2" s="15" t="s">
        <v>1176</v>
      </c>
      <c r="J2" s="15" t="s">
        <v>1177</v>
      </c>
      <c r="K2" s="15" t="s">
        <v>1178</v>
      </c>
      <c r="L2" s="15" t="s">
        <v>1179</v>
      </c>
      <c r="M2" s="15" t="s">
        <v>1180</v>
      </c>
      <c r="N2" s="15" t="s">
        <v>1181</v>
      </c>
      <c r="O2" s="15" t="s">
        <v>1182</v>
      </c>
      <c r="P2" s="15" t="s">
        <v>1183</v>
      </c>
    </row>
    <row r="3" spans="1:16" ht="36" customHeight="1" x14ac:dyDescent="0.45">
      <c r="A3" s="16" t="s">
        <v>1184</v>
      </c>
      <c r="B3" s="16" t="s">
        <v>180</v>
      </c>
      <c r="C3" s="16" t="s">
        <v>1185</v>
      </c>
      <c r="D3" s="16" t="s">
        <v>1186</v>
      </c>
      <c r="E3" s="16" t="s">
        <v>1187</v>
      </c>
      <c r="F3" s="16" t="s">
        <v>1188</v>
      </c>
      <c r="G3" s="16" t="s">
        <v>1189</v>
      </c>
      <c r="H3" s="16" t="s">
        <v>1190</v>
      </c>
      <c r="I3" s="16" t="s">
        <v>1191</v>
      </c>
      <c r="J3" s="16" t="s">
        <v>1192</v>
      </c>
      <c r="K3" s="16" t="s">
        <v>1193</v>
      </c>
      <c r="L3" s="16" t="s">
        <v>1194</v>
      </c>
      <c r="M3" s="16" t="s">
        <v>1195</v>
      </c>
      <c r="N3" s="16" t="s">
        <v>1196</v>
      </c>
      <c r="O3" s="16" t="s">
        <v>1197</v>
      </c>
      <c r="P3" s="16" t="s">
        <v>1198</v>
      </c>
    </row>
    <row r="4" spans="1:16" ht="36" customHeight="1" x14ac:dyDescent="0.45">
      <c r="A4" s="17" t="s">
        <v>1199</v>
      </c>
      <c r="B4" s="17" t="s">
        <v>165</v>
      </c>
      <c r="C4" s="17" t="s">
        <v>1200</v>
      </c>
      <c r="D4" s="17" t="s">
        <v>1201</v>
      </c>
      <c r="E4" s="17" t="s">
        <v>1202</v>
      </c>
      <c r="F4" s="17" t="s">
        <v>1188</v>
      </c>
      <c r="G4" s="17" t="s">
        <v>1203</v>
      </c>
      <c r="H4" s="17" t="s">
        <v>1204</v>
      </c>
      <c r="I4" s="17" t="s">
        <v>1205</v>
      </c>
      <c r="J4" s="17" t="s">
        <v>1206</v>
      </c>
      <c r="K4" s="17" t="s">
        <v>1207</v>
      </c>
      <c r="L4" s="17" t="s">
        <v>1208</v>
      </c>
      <c r="M4" s="17" t="s">
        <v>1209</v>
      </c>
      <c r="N4" s="17" t="s">
        <v>9</v>
      </c>
      <c r="O4" s="17" t="s">
        <v>1210</v>
      </c>
      <c r="P4" s="17" t="s">
        <v>1211</v>
      </c>
    </row>
    <row r="5" spans="1:16" ht="36" customHeight="1" x14ac:dyDescent="0.45">
      <c r="A5" s="16" t="s">
        <v>1212</v>
      </c>
      <c r="B5" s="16" t="s">
        <v>151</v>
      </c>
      <c r="C5" s="16" t="s">
        <v>1213</v>
      </c>
      <c r="D5" s="16" t="s">
        <v>1214</v>
      </c>
      <c r="E5" s="16" t="s">
        <v>1215</v>
      </c>
      <c r="F5" s="16" t="s">
        <v>1188</v>
      </c>
      <c r="G5" s="16" t="s">
        <v>1216</v>
      </c>
      <c r="H5" s="16" t="s">
        <v>1217</v>
      </c>
      <c r="I5" s="16" t="s">
        <v>1218</v>
      </c>
      <c r="J5" s="16" t="s">
        <v>1219</v>
      </c>
      <c r="K5" s="16" t="s">
        <v>1220</v>
      </c>
      <c r="L5" s="16" t="s">
        <v>1221</v>
      </c>
      <c r="M5" s="16" t="s">
        <v>1222</v>
      </c>
      <c r="N5" s="16" t="s">
        <v>1223</v>
      </c>
      <c r="O5" s="16" t="s">
        <v>1224</v>
      </c>
      <c r="P5" s="16" t="s">
        <v>1225</v>
      </c>
    </row>
    <row r="6" spans="1:16" ht="36" customHeight="1" x14ac:dyDescent="0.45">
      <c r="A6" s="17" t="s">
        <v>1226</v>
      </c>
      <c r="B6" s="17" t="s">
        <v>266</v>
      </c>
      <c r="C6" s="17" t="s">
        <v>1227</v>
      </c>
      <c r="D6" s="17" t="s">
        <v>1228</v>
      </c>
      <c r="E6" s="17" t="s">
        <v>1229</v>
      </c>
      <c r="F6" s="17" t="s">
        <v>1230</v>
      </c>
      <c r="G6" s="17" t="s">
        <v>1231</v>
      </c>
      <c r="H6" s="17" t="s">
        <v>1232</v>
      </c>
      <c r="I6" s="17" t="s">
        <v>1233</v>
      </c>
      <c r="J6" s="17" t="s">
        <v>1234</v>
      </c>
      <c r="K6" s="17" t="s">
        <v>1235</v>
      </c>
      <c r="L6" s="17" t="s">
        <v>1236</v>
      </c>
      <c r="M6" s="17" t="s">
        <v>1237</v>
      </c>
      <c r="N6" s="17" t="s">
        <v>1238</v>
      </c>
      <c r="O6" s="17" t="s">
        <v>1239</v>
      </c>
      <c r="P6" s="17" t="s">
        <v>1240</v>
      </c>
    </row>
    <row r="7" spans="1:16" ht="36" customHeight="1" x14ac:dyDescent="0.45">
      <c r="A7" s="16" t="s">
        <v>1241</v>
      </c>
      <c r="B7" s="16" t="s">
        <v>237</v>
      </c>
      <c r="C7" s="16" t="s">
        <v>1242</v>
      </c>
      <c r="D7" s="16" t="s">
        <v>1243</v>
      </c>
      <c r="E7" s="16" t="s">
        <v>1244</v>
      </c>
      <c r="F7" s="16" t="s">
        <v>1245</v>
      </c>
      <c r="G7" s="16" t="s">
        <v>1246</v>
      </c>
      <c r="H7" s="16" t="s">
        <v>1247</v>
      </c>
      <c r="I7" s="16" t="s">
        <v>1248</v>
      </c>
      <c r="J7" s="16" t="s">
        <v>1249</v>
      </c>
      <c r="K7" s="16" t="s">
        <v>1250</v>
      </c>
      <c r="L7" s="16" t="s">
        <v>1251</v>
      </c>
      <c r="M7" s="16" t="s">
        <v>1252</v>
      </c>
      <c r="N7" s="16" t="s">
        <v>1223</v>
      </c>
      <c r="O7" s="16" t="s">
        <v>1253</v>
      </c>
      <c r="P7" s="16" t="s">
        <v>1254</v>
      </c>
    </row>
    <row r="8" spans="1:16" ht="36" customHeight="1" x14ac:dyDescent="0.45">
      <c r="A8" s="17" t="s">
        <v>1255</v>
      </c>
      <c r="B8" s="17" t="s">
        <v>320</v>
      </c>
      <c r="C8" s="17" t="s">
        <v>1256</v>
      </c>
      <c r="D8" s="17" t="s">
        <v>1257</v>
      </c>
      <c r="E8" s="17" t="s">
        <v>1258</v>
      </c>
      <c r="F8" s="17" t="s">
        <v>1259</v>
      </c>
      <c r="G8" s="17" t="s">
        <v>1260</v>
      </c>
      <c r="H8" s="17" t="s">
        <v>1261</v>
      </c>
      <c r="I8" s="17" t="s">
        <v>1262</v>
      </c>
      <c r="J8" s="17" t="s">
        <v>1263</v>
      </c>
      <c r="K8" s="17" t="s">
        <v>1264</v>
      </c>
      <c r="L8" s="17" t="s">
        <v>1265</v>
      </c>
      <c r="M8" s="17" t="s">
        <v>1266</v>
      </c>
      <c r="N8" s="17" t="s">
        <v>15</v>
      </c>
      <c r="O8" s="17" t="s">
        <v>1267</v>
      </c>
      <c r="P8" s="17" t="s">
        <v>1268</v>
      </c>
    </row>
    <row r="9" spans="1:16" ht="36" customHeight="1" x14ac:dyDescent="0.45">
      <c r="A9" s="16" t="s">
        <v>1269</v>
      </c>
      <c r="B9" s="16" t="s">
        <v>332</v>
      </c>
      <c r="C9" s="16" t="s">
        <v>1270</v>
      </c>
      <c r="D9" s="16" t="s">
        <v>1271</v>
      </c>
      <c r="E9" s="16" t="s">
        <v>1272</v>
      </c>
      <c r="F9" s="16" t="s">
        <v>1259</v>
      </c>
      <c r="G9" s="16" t="s">
        <v>1273</v>
      </c>
      <c r="H9" s="16" t="s">
        <v>1274</v>
      </c>
      <c r="I9" s="16" t="s">
        <v>1275</v>
      </c>
      <c r="J9" s="16" t="s">
        <v>1276</v>
      </c>
      <c r="K9" s="16" t="s">
        <v>27</v>
      </c>
      <c r="L9" s="16" t="s">
        <v>1277</v>
      </c>
      <c r="M9" s="16" t="s">
        <v>1278</v>
      </c>
      <c r="N9" s="16" t="s">
        <v>21</v>
      </c>
      <c r="O9" s="16" t="s">
        <v>1279</v>
      </c>
      <c r="P9" s="16" t="s">
        <v>1280</v>
      </c>
    </row>
    <row r="10" spans="1:16" ht="36" customHeight="1" x14ac:dyDescent="0.45">
      <c r="A10" s="17" t="s">
        <v>1281</v>
      </c>
      <c r="B10" s="17" t="s">
        <v>346</v>
      </c>
      <c r="C10" s="17" t="s">
        <v>1282</v>
      </c>
      <c r="D10" s="17" t="s">
        <v>1283</v>
      </c>
      <c r="E10" s="17" t="s">
        <v>1284</v>
      </c>
      <c r="F10" s="17" t="s">
        <v>1188</v>
      </c>
      <c r="G10" s="17" t="s">
        <v>1285</v>
      </c>
      <c r="H10" s="17" t="s">
        <v>1286</v>
      </c>
      <c r="I10" s="17" t="s">
        <v>1287</v>
      </c>
      <c r="J10" s="17" t="s">
        <v>1288</v>
      </c>
      <c r="K10" s="17" t="s">
        <v>15</v>
      </c>
      <c r="L10" s="17" t="s">
        <v>1289</v>
      </c>
      <c r="M10" s="17" t="s">
        <v>1290</v>
      </c>
      <c r="N10" s="17" t="s">
        <v>21</v>
      </c>
      <c r="O10" s="17" t="s">
        <v>1291</v>
      </c>
      <c r="P10" s="17" t="s">
        <v>1292</v>
      </c>
    </row>
    <row r="11" spans="1:16" ht="36" customHeight="1" x14ac:dyDescent="0.45">
      <c r="A11" s="16" t="s">
        <v>1293</v>
      </c>
      <c r="B11" s="16" t="s">
        <v>1294</v>
      </c>
      <c r="C11" s="16" t="s">
        <v>1295</v>
      </c>
      <c r="D11" s="16" t="s">
        <v>1296</v>
      </c>
      <c r="E11" s="16" t="s">
        <v>1297</v>
      </c>
      <c r="F11" s="16" t="s">
        <v>1188</v>
      </c>
      <c r="G11" s="16" t="s">
        <v>1298</v>
      </c>
      <c r="H11" s="16" t="s">
        <v>1299</v>
      </c>
      <c r="I11" s="16" t="s">
        <v>1300</v>
      </c>
      <c r="J11" s="16" t="s">
        <v>1301</v>
      </c>
      <c r="K11" s="16" t="s">
        <v>1302</v>
      </c>
      <c r="L11" s="16" t="s">
        <v>1303</v>
      </c>
      <c r="M11" s="16" t="s">
        <v>1304</v>
      </c>
      <c r="N11" s="16" t="s">
        <v>27</v>
      </c>
      <c r="O11" s="16" t="s">
        <v>1305</v>
      </c>
      <c r="P11" s="16" t="s">
        <v>1306</v>
      </c>
    </row>
    <row r="12" spans="1:16" ht="36" customHeight="1" x14ac:dyDescent="0.45">
      <c r="A12" s="17" t="s">
        <v>1307</v>
      </c>
      <c r="B12" s="17" t="s">
        <v>222</v>
      </c>
      <c r="C12" s="17" t="s">
        <v>1308</v>
      </c>
      <c r="D12" s="17" t="s">
        <v>1309</v>
      </c>
      <c r="E12" s="17" t="s">
        <v>1310</v>
      </c>
      <c r="F12" s="17" t="s">
        <v>1311</v>
      </c>
      <c r="G12" s="17" t="s">
        <v>1312</v>
      </c>
      <c r="H12" s="17" t="s">
        <v>1313</v>
      </c>
      <c r="I12" s="17" t="s">
        <v>1314</v>
      </c>
      <c r="J12" s="17" t="s">
        <v>1315</v>
      </c>
      <c r="K12" s="17" t="s">
        <v>1302</v>
      </c>
      <c r="L12" s="17" t="s">
        <v>1316</v>
      </c>
      <c r="M12" s="17" t="s">
        <v>1317</v>
      </c>
      <c r="N12" s="17" t="s">
        <v>27</v>
      </c>
      <c r="O12" s="17" t="s">
        <v>1318</v>
      </c>
      <c r="P12" s="17" t="s">
        <v>1319</v>
      </c>
    </row>
    <row r="13" spans="1:16" ht="36" customHeight="1" x14ac:dyDescent="0.45">
      <c r="A13" s="16" t="s">
        <v>1320</v>
      </c>
      <c r="B13" s="16" t="s">
        <v>620</v>
      </c>
      <c r="C13" s="16" t="s">
        <v>1321</v>
      </c>
      <c r="D13" s="16" t="s">
        <v>1243</v>
      </c>
      <c r="E13" s="16" t="s">
        <v>1322</v>
      </c>
      <c r="F13" s="16" t="s">
        <v>1323</v>
      </c>
      <c r="G13" s="16" t="s">
        <v>1324</v>
      </c>
      <c r="H13" s="16" t="s">
        <v>1325</v>
      </c>
      <c r="I13" s="16" t="s">
        <v>1326</v>
      </c>
      <c r="J13" s="16" t="s">
        <v>1327</v>
      </c>
      <c r="K13" s="16" t="s">
        <v>1328</v>
      </c>
      <c r="L13" s="16" t="s">
        <v>1329</v>
      </c>
      <c r="M13" s="16" t="s">
        <v>1330</v>
      </c>
      <c r="N13" s="16" t="s">
        <v>21</v>
      </c>
      <c r="O13" s="16" t="s">
        <v>1331</v>
      </c>
      <c r="P13" s="16" t="s">
        <v>1332</v>
      </c>
    </row>
    <row r="14" spans="1:16" ht="36" customHeight="1" x14ac:dyDescent="0.45">
      <c r="A14" s="17" t="s">
        <v>1333</v>
      </c>
      <c r="B14" s="17" t="s">
        <v>850</v>
      </c>
      <c r="C14" s="17" t="s">
        <v>1334</v>
      </c>
      <c r="D14" s="17" t="s">
        <v>1335</v>
      </c>
      <c r="E14" s="17" t="s">
        <v>1336</v>
      </c>
      <c r="F14" s="17" t="s">
        <v>1188</v>
      </c>
      <c r="G14" s="17" t="s">
        <v>1337</v>
      </c>
      <c r="H14" s="17" t="s">
        <v>1338</v>
      </c>
      <c r="I14" s="17" t="s">
        <v>1339</v>
      </c>
      <c r="J14" s="17" t="s">
        <v>1340</v>
      </c>
      <c r="K14" s="17" t="s">
        <v>33</v>
      </c>
      <c r="L14" s="17" t="s">
        <v>1341</v>
      </c>
      <c r="M14" s="17" t="s">
        <v>1342</v>
      </c>
      <c r="N14" s="17" t="s">
        <v>21</v>
      </c>
      <c r="O14" s="17" t="s">
        <v>1343</v>
      </c>
      <c r="P14" s="17" t="s">
        <v>1344</v>
      </c>
    </row>
    <row r="15" spans="1:16" ht="36" customHeight="1" x14ac:dyDescent="0.45">
      <c r="A15" s="16" t="s">
        <v>1345</v>
      </c>
      <c r="B15" s="16" t="s">
        <v>457</v>
      </c>
      <c r="C15" s="16" t="s">
        <v>1346</v>
      </c>
      <c r="D15" s="16" t="s">
        <v>1347</v>
      </c>
      <c r="E15" s="16" t="s">
        <v>1348</v>
      </c>
      <c r="F15" s="16" t="s">
        <v>1349</v>
      </c>
      <c r="G15" s="16" t="s">
        <v>1350</v>
      </c>
      <c r="H15" s="16" t="s">
        <v>1351</v>
      </c>
      <c r="I15" s="16" t="s">
        <v>1352</v>
      </c>
      <c r="J15" s="16" t="s">
        <v>1353</v>
      </c>
      <c r="K15" s="16" t="s">
        <v>1354</v>
      </c>
      <c r="L15" s="16" t="s">
        <v>1355</v>
      </c>
      <c r="M15" s="16" t="s">
        <v>1356</v>
      </c>
      <c r="N15" s="16" t="s">
        <v>1357</v>
      </c>
      <c r="O15" s="16" t="s">
        <v>1358</v>
      </c>
      <c r="P15" s="16" t="s">
        <v>1359</v>
      </c>
    </row>
    <row r="16" spans="1:16" ht="36" customHeight="1" x14ac:dyDescent="0.45">
      <c r="A16" s="17" t="s">
        <v>1360</v>
      </c>
      <c r="B16" s="17" t="s">
        <v>935</v>
      </c>
      <c r="C16" s="17" t="s">
        <v>1361</v>
      </c>
      <c r="D16" s="17" t="s">
        <v>1362</v>
      </c>
      <c r="E16" s="17" t="s">
        <v>1363</v>
      </c>
      <c r="F16" s="17" t="s">
        <v>1364</v>
      </c>
      <c r="G16" s="17" t="s">
        <v>1365</v>
      </c>
      <c r="H16" s="17" t="s">
        <v>1366</v>
      </c>
      <c r="I16" s="17" t="s">
        <v>1367</v>
      </c>
      <c r="J16" s="17" t="s">
        <v>1368</v>
      </c>
      <c r="K16" s="17" t="s">
        <v>1369</v>
      </c>
      <c r="L16" s="17" t="s">
        <v>1370</v>
      </c>
      <c r="M16" s="17" t="s">
        <v>1371</v>
      </c>
      <c r="N16" s="17" t="s">
        <v>1357</v>
      </c>
      <c r="O16" s="17" t="s">
        <v>1372</v>
      </c>
      <c r="P16" s="17" t="s">
        <v>1373</v>
      </c>
    </row>
    <row r="17" spans="1:16" ht="36" customHeight="1" x14ac:dyDescent="0.45">
      <c r="A17" s="16" t="s">
        <v>1374</v>
      </c>
      <c r="B17" s="16" t="s">
        <v>442</v>
      </c>
      <c r="C17" s="16" t="s">
        <v>1375</v>
      </c>
      <c r="D17" s="16" t="s">
        <v>1376</v>
      </c>
      <c r="E17" s="16" t="s">
        <v>1377</v>
      </c>
      <c r="F17" s="16" t="s">
        <v>1378</v>
      </c>
      <c r="G17" s="16" t="s">
        <v>1379</v>
      </c>
      <c r="H17" s="16" t="s">
        <v>1380</v>
      </c>
      <c r="I17" s="16" t="s">
        <v>1381</v>
      </c>
      <c r="J17" s="16" t="s">
        <v>1382</v>
      </c>
      <c r="K17" s="16" t="s">
        <v>1302</v>
      </c>
      <c r="L17" s="16" t="s">
        <v>1383</v>
      </c>
      <c r="M17" s="16" t="s">
        <v>1384</v>
      </c>
      <c r="N17" s="16" t="s">
        <v>1385</v>
      </c>
      <c r="O17" s="16" t="s">
        <v>1386</v>
      </c>
      <c r="P17" s="16" t="s">
        <v>1387</v>
      </c>
    </row>
    <row r="18" spans="1:16" ht="36" customHeight="1" x14ac:dyDescent="0.45">
      <c r="A18" s="17" t="s">
        <v>1388</v>
      </c>
      <c r="B18" s="17" t="s">
        <v>768</v>
      </c>
      <c r="C18" s="17" t="s">
        <v>1375</v>
      </c>
      <c r="D18" s="17" t="s">
        <v>1389</v>
      </c>
      <c r="E18" s="17" t="s">
        <v>1390</v>
      </c>
      <c r="F18" s="17" t="s">
        <v>1311</v>
      </c>
      <c r="G18" s="17" t="s">
        <v>1391</v>
      </c>
      <c r="H18" s="17" t="s">
        <v>1392</v>
      </c>
      <c r="I18" s="17" t="s">
        <v>1393</v>
      </c>
      <c r="J18" s="17" t="s">
        <v>1394</v>
      </c>
      <c r="K18" s="17" t="s">
        <v>1302</v>
      </c>
      <c r="L18" s="17" t="s">
        <v>1395</v>
      </c>
      <c r="M18" s="17" t="s">
        <v>1396</v>
      </c>
      <c r="N18" s="17" t="s">
        <v>1196</v>
      </c>
      <c r="O18" s="17" t="s">
        <v>1397</v>
      </c>
      <c r="P18" s="17" t="s">
        <v>1398</v>
      </c>
    </row>
    <row r="19" spans="1:16" ht="36" customHeight="1" x14ac:dyDescent="0.45">
      <c r="A19" s="16" t="s">
        <v>1399</v>
      </c>
      <c r="B19" s="16" t="s">
        <v>1400</v>
      </c>
      <c r="C19" s="16" t="s">
        <v>1401</v>
      </c>
      <c r="D19" s="16" t="s">
        <v>1376</v>
      </c>
      <c r="E19" s="16" t="s">
        <v>1402</v>
      </c>
      <c r="F19" s="16" t="s">
        <v>1403</v>
      </c>
      <c r="G19" s="16" t="s">
        <v>1404</v>
      </c>
      <c r="H19" s="16" t="s">
        <v>1405</v>
      </c>
      <c r="I19" s="16" t="s">
        <v>1406</v>
      </c>
      <c r="J19" s="16" t="s">
        <v>1407</v>
      </c>
      <c r="K19" s="16" t="s">
        <v>1302</v>
      </c>
      <c r="L19" s="16" t="s">
        <v>1408</v>
      </c>
      <c r="M19" s="16" t="s">
        <v>1409</v>
      </c>
      <c r="N19" s="16" t="s">
        <v>1410</v>
      </c>
      <c r="O19" s="16" t="s">
        <v>1411</v>
      </c>
      <c r="P19" s="16" t="s">
        <v>1412</v>
      </c>
    </row>
    <row r="20" spans="1:16" ht="36" customHeight="1" x14ac:dyDescent="0.45">
      <c r="A20" s="17" t="s">
        <v>1413</v>
      </c>
      <c r="B20" s="17" t="s">
        <v>1414</v>
      </c>
      <c r="C20" s="17" t="s">
        <v>1243</v>
      </c>
      <c r="D20" s="17" t="s">
        <v>1415</v>
      </c>
      <c r="E20" s="17" t="s">
        <v>1416</v>
      </c>
      <c r="F20" s="17" t="s">
        <v>1417</v>
      </c>
      <c r="G20" s="17" t="s">
        <v>1418</v>
      </c>
      <c r="H20" s="17" t="s">
        <v>1419</v>
      </c>
      <c r="I20" s="17" t="s">
        <v>1420</v>
      </c>
      <c r="J20" s="17" t="s">
        <v>1421</v>
      </c>
      <c r="K20" s="17" t="s">
        <v>1302</v>
      </c>
      <c r="L20" s="17" t="s">
        <v>1422</v>
      </c>
      <c r="M20" s="17" t="s">
        <v>1396</v>
      </c>
      <c r="N20" s="17" t="s">
        <v>1423</v>
      </c>
      <c r="O20" s="17" t="s">
        <v>1424</v>
      </c>
      <c r="P20" s="17" t="s">
        <v>1425</v>
      </c>
    </row>
    <row r="21" spans="1:16" ht="36" customHeight="1" x14ac:dyDescent="0.45">
      <c r="A21" s="16" t="s">
        <v>1426</v>
      </c>
      <c r="B21" s="16" t="s">
        <v>1427</v>
      </c>
      <c r="C21" s="16" t="s">
        <v>9</v>
      </c>
      <c r="D21" s="16" t="s">
        <v>21</v>
      </c>
      <c r="E21" s="16" t="s">
        <v>1428</v>
      </c>
      <c r="F21" s="16" t="s">
        <v>1429</v>
      </c>
      <c r="G21" s="16" t="s">
        <v>1430</v>
      </c>
      <c r="H21" s="16" t="s">
        <v>1431</v>
      </c>
      <c r="I21" s="16" t="s">
        <v>1432</v>
      </c>
      <c r="J21" s="16" t="s">
        <v>1433</v>
      </c>
      <c r="K21" s="16" t="s">
        <v>1302</v>
      </c>
      <c r="L21" s="16" t="s">
        <v>1434</v>
      </c>
      <c r="M21" s="16" t="s">
        <v>1435</v>
      </c>
      <c r="N21" s="16" t="s">
        <v>27</v>
      </c>
      <c r="O21" s="16" t="s">
        <v>1436</v>
      </c>
      <c r="P21" s="16" t="s">
        <v>1437</v>
      </c>
    </row>
    <row r="22" spans="1:16" ht="36" customHeight="1" x14ac:dyDescent="0.45">
      <c r="A22" s="17" t="s">
        <v>1438</v>
      </c>
      <c r="B22" s="17" t="s">
        <v>563</v>
      </c>
      <c r="C22" s="17" t="s">
        <v>1439</v>
      </c>
      <c r="D22" s="17" t="s">
        <v>1440</v>
      </c>
      <c r="E22" s="17" t="s">
        <v>1441</v>
      </c>
      <c r="F22" s="17" t="s">
        <v>1442</v>
      </c>
      <c r="G22" s="17" t="s">
        <v>1443</v>
      </c>
      <c r="H22" s="17" t="s">
        <v>1444</v>
      </c>
      <c r="I22" s="17" t="s">
        <v>1445</v>
      </c>
      <c r="J22" s="17" t="s">
        <v>1446</v>
      </c>
      <c r="K22" s="17" t="s">
        <v>1302</v>
      </c>
      <c r="L22" s="17" t="s">
        <v>1447</v>
      </c>
      <c r="M22" s="17" t="s">
        <v>1448</v>
      </c>
      <c r="N22" s="17" t="s">
        <v>33</v>
      </c>
      <c r="O22" s="17" t="s">
        <v>1449</v>
      </c>
      <c r="P22" s="17" t="s">
        <v>1450</v>
      </c>
    </row>
    <row r="23" spans="1:16" ht="36" customHeight="1" x14ac:dyDescent="0.45">
      <c r="A23" s="16" t="s">
        <v>1451</v>
      </c>
      <c r="B23" s="16" t="s">
        <v>358</v>
      </c>
      <c r="C23" s="16" t="s">
        <v>1452</v>
      </c>
      <c r="D23" s="16" t="s">
        <v>1453</v>
      </c>
      <c r="E23" s="16" t="s">
        <v>1454</v>
      </c>
      <c r="F23" s="16" t="s">
        <v>1259</v>
      </c>
      <c r="G23" s="16" t="s">
        <v>1455</v>
      </c>
      <c r="H23" s="16" t="s">
        <v>1456</v>
      </c>
      <c r="I23" s="16" t="s">
        <v>1457</v>
      </c>
      <c r="J23" s="16" t="s">
        <v>1458</v>
      </c>
      <c r="K23" s="16" t="s">
        <v>15</v>
      </c>
      <c r="L23" s="16" t="s">
        <v>1459</v>
      </c>
      <c r="M23" s="16" t="s">
        <v>1460</v>
      </c>
      <c r="N23" s="16" t="s">
        <v>21</v>
      </c>
      <c r="O23" s="16" t="s">
        <v>1461</v>
      </c>
      <c r="P23" s="16" t="s">
        <v>1462</v>
      </c>
    </row>
    <row r="24" spans="1:16" ht="36" customHeight="1" x14ac:dyDescent="0.45">
      <c r="A24" s="17" t="s">
        <v>1463</v>
      </c>
      <c r="B24" s="17" t="s">
        <v>490</v>
      </c>
      <c r="C24" s="17" t="s">
        <v>1464</v>
      </c>
      <c r="D24" s="17" t="s">
        <v>1465</v>
      </c>
      <c r="E24" s="17" t="s">
        <v>1466</v>
      </c>
      <c r="F24" s="17" t="s">
        <v>1467</v>
      </c>
      <c r="G24" s="17" t="s">
        <v>1468</v>
      </c>
      <c r="H24" s="17" t="s">
        <v>1469</v>
      </c>
      <c r="I24" s="17" t="s">
        <v>1470</v>
      </c>
      <c r="J24" s="17" t="s">
        <v>1471</v>
      </c>
      <c r="K24" s="17" t="s">
        <v>1472</v>
      </c>
      <c r="L24" s="17" t="s">
        <v>1473</v>
      </c>
      <c r="M24" s="17" t="s">
        <v>1474</v>
      </c>
      <c r="N24" s="17" t="s">
        <v>27</v>
      </c>
      <c r="O24" s="17" t="s">
        <v>1475</v>
      </c>
      <c r="P24" s="17" t="s">
        <v>1476</v>
      </c>
    </row>
    <row r="25" spans="1:16" ht="36" customHeight="1" x14ac:dyDescent="0.45">
      <c r="A25" s="16" t="s">
        <v>1477</v>
      </c>
      <c r="B25" s="16" t="s">
        <v>1043</v>
      </c>
      <c r="C25" s="16" t="s">
        <v>1478</v>
      </c>
      <c r="D25" s="16" t="s">
        <v>1479</v>
      </c>
      <c r="E25" s="16" t="s">
        <v>1480</v>
      </c>
      <c r="F25" s="16" t="s">
        <v>1481</v>
      </c>
      <c r="G25" s="16" t="s">
        <v>1482</v>
      </c>
      <c r="H25" s="16" t="s">
        <v>1483</v>
      </c>
      <c r="I25" s="16" t="s">
        <v>1484</v>
      </c>
      <c r="J25" s="16" t="s">
        <v>1485</v>
      </c>
      <c r="K25" s="16" t="s">
        <v>1486</v>
      </c>
      <c r="L25" s="16" t="s">
        <v>1487</v>
      </c>
      <c r="M25" s="16" t="s">
        <v>1488</v>
      </c>
      <c r="N25" s="16" t="s">
        <v>1489</v>
      </c>
      <c r="O25" s="16" t="s">
        <v>1490</v>
      </c>
      <c r="P25" s="16" t="s">
        <v>480</v>
      </c>
    </row>
    <row r="26" spans="1:16" ht="36" customHeight="1" x14ac:dyDescent="0.45">
      <c r="A26" s="17" t="s">
        <v>1491</v>
      </c>
      <c r="B26" s="17" t="s">
        <v>1071</v>
      </c>
      <c r="C26" s="17" t="s">
        <v>1492</v>
      </c>
      <c r="D26" s="17" t="s">
        <v>1493</v>
      </c>
      <c r="E26" s="17" t="s">
        <v>1494</v>
      </c>
      <c r="F26" s="17" t="s">
        <v>1259</v>
      </c>
      <c r="G26" s="17" t="s">
        <v>1495</v>
      </c>
      <c r="H26" s="17" t="s">
        <v>1496</v>
      </c>
      <c r="I26" s="17" t="s">
        <v>1339</v>
      </c>
      <c r="J26" s="17" t="s">
        <v>1497</v>
      </c>
      <c r="K26" s="17" t="s">
        <v>1498</v>
      </c>
      <c r="L26" s="17" t="s">
        <v>1499</v>
      </c>
      <c r="M26" s="17" t="s">
        <v>1266</v>
      </c>
      <c r="N26" s="17" t="s">
        <v>27</v>
      </c>
      <c r="O26" s="17" t="s">
        <v>1500</v>
      </c>
      <c r="P26" s="17" t="s">
        <v>1501</v>
      </c>
    </row>
    <row r="27" spans="1:16" ht="36" customHeight="1" x14ac:dyDescent="0.45">
      <c r="A27" s="16" t="s">
        <v>1502</v>
      </c>
      <c r="B27" s="16" t="s">
        <v>1084</v>
      </c>
      <c r="C27" s="16" t="s">
        <v>1503</v>
      </c>
      <c r="D27" s="16" t="s">
        <v>1504</v>
      </c>
      <c r="E27" s="16" t="s">
        <v>1505</v>
      </c>
      <c r="F27" s="16" t="s">
        <v>1259</v>
      </c>
      <c r="G27" s="16" t="s">
        <v>1506</v>
      </c>
      <c r="H27" s="16" t="s">
        <v>1507</v>
      </c>
      <c r="I27" s="16" t="s">
        <v>1339</v>
      </c>
      <c r="J27" s="16" t="s">
        <v>1508</v>
      </c>
      <c r="K27" s="16" t="s">
        <v>33</v>
      </c>
      <c r="L27" s="16" t="s">
        <v>1509</v>
      </c>
      <c r="M27" s="16" t="s">
        <v>1510</v>
      </c>
      <c r="N27" s="16" t="s">
        <v>27</v>
      </c>
      <c r="O27" s="16" t="s">
        <v>1511</v>
      </c>
      <c r="P27" s="16" t="s">
        <v>1512</v>
      </c>
    </row>
    <row r="28" spans="1:16" ht="36" customHeight="1" x14ac:dyDescent="0.45">
      <c r="A28" s="17" t="s">
        <v>1513</v>
      </c>
      <c r="B28" s="17" t="s">
        <v>1057</v>
      </c>
      <c r="C28" s="17" t="s">
        <v>1514</v>
      </c>
      <c r="D28" s="17" t="s">
        <v>1515</v>
      </c>
      <c r="E28" s="17" t="s">
        <v>1516</v>
      </c>
      <c r="F28" s="17" t="s">
        <v>1259</v>
      </c>
      <c r="G28" s="17" t="s">
        <v>1517</v>
      </c>
      <c r="H28" s="17" t="s">
        <v>1518</v>
      </c>
      <c r="I28" s="17" t="s">
        <v>1519</v>
      </c>
      <c r="J28" s="17" t="s">
        <v>1485</v>
      </c>
      <c r="K28" s="17" t="s">
        <v>1486</v>
      </c>
      <c r="L28" s="17" t="s">
        <v>1520</v>
      </c>
      <c r="M28" s="17" t="s">
        <v>1521</v>
      </c>
      <c r="N28" s="17" t="s">
        <v>27</v>
      </c>
      <c r="O28" s="17" t="s">
        <v>1522</v>
      </c>
      <c r="P28" s="17" t="s">
        <v>1501</v>
      </c>
    </row>
    <row r="29" spans="1:16" ht="36" customHeight="1" x14ac:dyDescent="0.45">
      <c r="A29" s="16" t="s">
        <v>1523</v>
      </c>
      <c r="B29" s="16" t="s">
        <v>1524</v>
      </c>
      <c r="C29" s="16" t="s">
        <v>1525</v>
      </c>
      <c r="D29" s="16" t="s">
        <v>1526</v>
      </c>
      <c r="E29" s="16" t="s">
        <v>1527</v>
      </c>
      <c r="F29" s="16" t="s">
        <v>1528</v>
      </c>
      <c r="G29" s="16" t="s">
        <v>1529</v>
      </c>
      <c r="H29" s="16" t="s">
        <v>1530</v>
      </c>
      <c r="I29" s="16" t="s">
        <v>1531</v>
      </c>
      <c r="J29" s="16" t="s">
        <v>1532</v>
      </c>
      <c r="K29" s="16" t="s">
        <v>9</v>
      </c>
      <c r="L29" s="16" t="s">
        <v>1533</v>
      </c>
      <c r="M29" s="16" t="s">
        <v>1534</v>
      </c>
      <c r="N29" s="16" t="s">
        <v>21</v>
      </c>
      <c r="O29" s="16" t="s">
        <v>1535</v>
      </c>
      <c r="P29" s="16" t="s">
        <v>1536</v>
      </c>
    </row>
    <row r="30" spans="1:16" ht="36" customHeight="1" x14ac:dyDescent="0.45">
      <c r="A30" s="17" t="s">
        <v>1537</v>
      </c>
      <c r="B30" s="17" t="s">
        <v>428</v>
      </c>
      <c r="C30" s="17" t="s">
        <v>1538</v>
      </c>
      <c r="D30" s="17" t="s">
        <v>1539</v>
      </c>
      <c r="E30" s="17" t="s">
        <v>1540</v>
      </c>
      <c r="F30" s="17" t="s">
        <v>1541</v>
      </c>
      <c r="G30" s="17" t="s">
        <v>1542</v>
      </c>
      <c r="H30" s="17" t="s">
        <v>1543</v>
      </c>
      <c r="I30" s="17" t="s">
        <v>1544</v>
      </c>
      <c r="J30" s="17" t="s">
        <v>1545</v>
      </c>
      <c r="K30" s="17" t="s">
        <v>1302</v>
      </c>
      <c r="L30" s="17" t="s">
        <v>1546</v>
      </c>
      <c r="M30" s="17" t="s">
        <v>1547</v>
      </c>
      <c r="N30" s="17" t="s">
        <v>33</v>
      </c>
      <c r="O30" s="17" t="s">
        <v>1548</v>
      </c>
      <c r="P30" s="17" t="s">
        <v>1549</v>
      </c>
    </row>
    <row r="31" spans="1:16" ht="36" customHeight="1" x14ac:dyDescent="0.45">
      <c r="A31" s="16" t="s">
        <v>1550</v>
      </c>
      <c r="B31" s="16" t="s">
        <v>414</v>
      </c>
      <c r="C31" s="16" t="s">
        <v>1551</v>
      </c>
      <c r="D31" s="16" t="s">
        <v>1552</v>
      </c>
      <c r="E31" s="16" t="s">
        <v>1553</v>
      </c>
      <c r="F31" s="16" t="s">
        <v>1259</v>
      </c>
      <c r="G31" s="16" t="s">
        <v>1554</v>
      </c>
      <c r="H31" s="16" t="s">
        <v>1555</v>
      </c>
      <c r="I31" s="16" t="s">
        <v>1556</v>
      </c>
      <c r="J31" s="16" t="s">
        <v>1557</v>
      </c>
      <c r="K31" s="16" t="s">
        <v>1302</v>
      </c>
      <c r="L31" s="16" t="s">
        <v>1558</v>
      </c>
      <c r="M31" s="16" t="s">
        <v>1559</v>
      </c>
      <c r="N31" s="16" t="s">
        <v>33</v>
      </c>
      <c r="O31" s="16" t="s">
        <v>1560</v>
      </c>
      <c r="P31" s="16" t="s">
        <v>1549</v>
      </c>
    </row>
    <row r="32" spans="1:16" ht="36" customHeight="1" x14ac:dyDescent="0.45">
      <c r="A32" s="17" t="s">
        <v>1561</v>
      </c>
      <c r="B32" s="17" t="s">
        <v>506</v>
      </c>
      <c r="C32" s="17" t="s">
        <v>1551</v>
      </c>
      <c r="D32" s="17" t="s">
        <v>1562</v>
      </c>
      <c r="E32" s="17" t="s">
        <v>508</v>
      </c>
      <c r="F32" s="17" t="s">
        <v>1188</v>
      </c>
      <c r="G32" s="17" t="s">
        <v>1563</v>
      </c>
      <c r="H32" s="17" t="s">
        <v>1507</v>
      </c>
      <c r="I32" s="17" t="s">
        <v>513</v>
      </c>
      <c r="J32" s="17" t="s">
        <v>1564</v>
      </c>
      <c r="K32" s="17" t="s">
        <v>1264</v>
      </c>
      <c r="L32" s="17" t="s">
        <v>1565</v>
      </c>
      <c r="M32" s="17" t="s">
        <v>1566</v>
      </c>
      <c r="N32" s="17" t="s">
        <v>21</v>
      </c>
      <c r="O32" s="17" t="s">
        <v>1567</v>
      </c>
      <c r="P32" s="17" t="s">
        <v>512</v>
      </c>
    </row>
    <row r="33" spans="1:16" ht="36" customHeight="1" x14ac:dyDescent="0.45">
      <c r="A33" s="16" t="s">
        <v>1568</v>
      </c>
      <c r="B33" s="16" t="s">
        <v>876</v>
      </c>
      <c r="C33" s="16" t="s">
        <v>1346</v>
      </c>
      <c r="D33" s="16" t="s">
        <v>1569</v>
      </c>
      <c r="E33" s="16" t="s">
        <v>878</v>
      </c>
      <c r="F33" s="16" t="s">
        <v>1570</v>
      </c>
      <c r="G33" s="16" t="s">
        <v>1571</v>
      </c>
      <c r="H33" s="16" t="s">
        <v>1572</v>
      </c>
      <c r="I33" s="16" t="s">
        <v>1573</v>
      </c>
      <c r="J33" s="16" t="s">
        <v>1574</v>
      </c>
      <c r="K33" s="16" t="s">
        <v>1302</v>
      </c>
      <c r="L33" s="16" t="s">
        <v>1575</v>
      </c>
      <c r="M33" s="16" t="s">
        <v>1576</v>
      </c>
      <c r="N33" s="16" t="s">
        <v>21</v>
      </c>
      <c r="O33" s="16" t="s">
        <v>1577</v>
      </c>
      <c r="P33" s="16" t="s">
        <v>1578</v>
      </c>
    </row>
  </sheetData>
  <mergeCells count="1">
    <mergeCell ref="A1:P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N18"/>
  <sheetViews>
    <sheetView workbookViewId="0">
      <pane ySplit="2" topLeftCell="A3" activePane="bottomLeft" state="frozen"/>
      <selection pane="bottomLeft" sqref="A1:N1"/>
    </sheetView>
  </sheetViews>
  <sheetFormatPr defaultRowHeight="14.25" x14ac:dyDescent="0.45"/>
  <cols>
    <col min="1" max="1" width="35" customWidth="1"/>
    <col min="2" max="3" width="15" customWidth="1"/>
    <col min="4" max="4" width="8" customWidth="1"/>
    <col min="5" max="5" width="15" customWidth="1"/>
    <col min="6" max="6" width="12" customWidth="1"/>
    <col min="7" max="7" width="20" customWidth="1"/>
    <col min="8" max="8" width="15" customWidth="1"/>
    <col min="9" max="9" width="50" customWidth="1"/>
    <col min="10" max="10" width="35" customWidth="1"/>
    <col min="11" max="11" width="25" customWidth="1"/>
    <col min="12" max="12" width="15" customWidth="1"/>
    <col min="13" max="13" width="40" customWidth="1"/>
    <col min="14" max="14" width="30" customWidth="1"/>
  </cols>
  <sheetData>
    <row r="1" spans="1:14" ht="22.05" customHeight="1" x14ac:dyDescent="0.45">
      <c r="A1" s="47" t="s">
        <v>1579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20" customHeight="1" x14ac:dyDescent="0.45">
      <c r="A2" s="18" t="s">
        <v>1580</v>
      </c>
      <c r="B2" s="18" t="s">
        <v>1169</v>
      </c>
      <c r="C2" s="18" t="s">
        <v>1581</v>
      </c>
      <c r="D2" s="18" t="s">
        <v>90</v>
      </c>
      <c r="E2" s="18" t="s">
        <v>1582</v>
      </c>
      <c r="F2" s="18" t="s">
        <v>1583</v>
      </c>
      <c r="G2" s="18" t="s">
        <v>1584</v>
      </c>
      <c r="H2" s="18" t="s">
        <v>1585</v>
      </c>
      <c r="I2" s="18" t="s">
        <v>1586</v>
      </c>
      <c r="J2" s="18" t="s">
        <v>1587</v>
      </c>
      <c r="K2" s="18" t="s">
        <v>1588</v>
      </c>
      <c r="L2" s="18" t="s">
        <v>1589</v>
      </c>
      <c r="M2" s="18" t="s">
        <v>1590</v>
      </c>
      <c r="N2" s="18" t="s">
        <v>1591</v>
      </c>
    </row>
    <row r="3" spans="1:14" ht="45" customHeight="1" x14ac:dyDescent="0.45">
      <c r="A3" s="19" t="s">
        <v>1592</v>
      </c>
      <c r="B3" s="19" t="s">
        <v>151</v>
      </c>
      <c r="C3" s="19" t="s">
        <v>1593</v>
      </c>
      <c r="D3" s="19" t="s">
        <v>9</v>
      </c>
      <c r="E3" s="19">
        <v>4</v>
      </c>
      <c r="F3" s="19">
        <v>5</v>
      </c>
      <c r="G3" s="19">
        <v>5</v>
      </c>
      <c r="H3" s="19">
        <f t="shared" ref="H3:H18" si="0">D3+E3+F3</f>
        <v>10</v>
      </c>
      <c r="I3" s="19" t="s">
        <v>1594</v>
      </c>
      <c r="J3" s="19" t="s">
        <v>1595</v>
      </c>
      <c r="K3" s="19" t="s">
        <v>1596</v>
      </c>
      <c r="L3" s="19" t="s">
        <v>14</v>
      </c>
      <c r="M3" s="19" t="s">
        <v>1597</v>
      </c>
      <c r="N3" s="19" t="s">
        <v>1598</v>
      </c>
    </row>
    <row r="4" spans="1:14" ht="45" customHeight="1" x14ac:dyDescent="0.45">
      <c r="A4" s="19" t="s">
        <v>1599</v>
      </c>
      <c r="B4" s="19" t="s">
        <v>165</v>
      </c>
      <c r="C4" s="19" t="s">
        <v>1600</v>
      </c>
      <c r="D4" s="19" t="s">
        <v>9</v>
      </c>
      <c r="E4" s="19">
        <v>4</v>
      </c>
      <c r="F4" s="19">
        <v>4</v>
      </c>
      <c r="G4" s="19">
        <v>5</v>
      </c>
      <c r="H4" s="19">
        <f t="shared" si="0"/>
        <v>9</v>
      </c>
      <c r="I4" s="19" t="s">
        <v>1601</v>
      </c>
      <c r="J4" s="19" t="s">
        <v>1602</v>
      </c>
      <c r="K4" s="19" t="s">
        <v>1603</v>
      </c>
      <c r="L4" s="19" t="s">
        <v>14</v>
      </c>
      <c r="M4" s="19" t="s">
        <v>1604</v>
      </c>
      <c r="N4" s="19" t="s">
        <v>1605</v>
      </c>
    </row>
    <row r="5" spans="1:14" ht="45" customHeight="1" x14ac:dyDescent="0.45">
      <c r="A5" s="19" t="s">
        <v>1606</v>
      </c>
      <c r="B5" s="19" t="s">
        <v>151</v>
      </c>
      <c r="C5" s="19" t="s">
        <v>1607</v>
      </c>
      <c r="D5" s="19" t="s">
        <v>15</v>
      </c>
      <c r="E5" s="19">
        <v>5</v>
      </c>
      <c r="F5" s="19">
        <v>3</v>
      </c>
      <c r="G5" s="19">
        <v>3</v>
      </c>
      <c r="H5" s="19">
        <f t="shared" si="0"/>
        <v>10</v>
      </c>
      <c r="I5" s="19" t="s">
        <v>1608</v>
      </c>
      <c r="J5" s="19" t="s">
        <v>1609</v>
      </c>
      <c r="K5" s="19" t="s">
        <v>1610</v>
      </c>
      <c r="L5" s="19" t="s">
        <v>20</v>
      </c>
      <c r="M5" s="19" t="s">
        <v>1611</v>
      </c>
      <c r="N5" s="19" t="s">
        <v>1612</v>
      </c>
    </row>
    <row r="6" spans="1:14" ht="45" customHeight="1" x14ac:dyDescent="0.45">
      <c r="A6" s="19" t="s">
        <v>1613</v>
      </c>
      <c r="B6" s="19" t="s">
        <v>136</v>
      </c>
      <c r="C6" s="19" t="s">
        <v>1614</v>
      </c>
      <c r="D6" s="19" t="s">
        <v>15</v>
      </c>
      <c r="E6" s="19">
        <v>4</v>
      </c>
      <c r="F6" s="19">
        <v>3</v>
      </c>
      <c r="G6" s="19">
        <v>4</v>
      </c>
      <c r="H6" s="19">
        <f t="shared" si="0"/>
        <v>9</v>
      </c>
      <c r="I6" s="19" t="s">
        <v>1615</v>
      </c>
      <c r="J6" s="19" t="s">
        <v>1616</v>
      </c>
      <c r="K6" s="19" t="s">
        <v>1617</v>
      </c>
      <c r="L6" s="19" t="s">
        <v>20</v>
      </c>
      <c r="M6" s="19" t="s">
        <v>1618</v>
      </c>
      <c r="N6" s="19" t="s">
        <v>1619</v>
      </c>
    </row>
    <row r="7" spans="1:14" ht="45" customHeight="1" x14ac:dyDescent="0.45">
      <c r="A7" s="19" t="s">
        <v>1620</v>
      </c>
      <c r="B7" s="19" t="s">
        <v>237</v>
      </c>
      <c r="C7" s="19" t="s">
        <v>1621</v>
      </c>
      <c r="D7" s="19" t="s">
        <v>9</v>
      </c>
      <c r="E7" s="19">
        <v>4</v>
      </c>
      <c r="F7" s="19">
        <v>3</v>
      </c>
      <c r="G7" s="19">
        <v>5</v>
      </c>
      <c r="H7" s="19">
        <f t="shared" si="0"/>
        <v>8</v>
      </c>
      <c r="I7" s="19" t="s">
        <v>1622</v>
      </c>
      <c r="J7" s="19" t="s">
        <v>1623</v>
      </c>
      <c r="K7" s="19" t="s">
        <v>1624</v>
      </c>
      <c r="L7" s="19" t="s">
        <v>14</v>
      </c>
      <c r="M7" s="19" t="s">
        <v>1625</v>
      </c>
      <c r="N7" s="19" t="s">
        <v>1626</v>
      </c>
    </row>
    <row r="8" spans="1:14" ht="45" customHeight="1" x14ac:dyDescent="0.45">
      <c r="A8" s="19" t="s">
        <v>1627</v>
      </c>
      <c r="B8" s="19" t="s">
        <v>442</v>
      </c>
      <c r="C8" s="19" t="s">
        <v>1628</v>
      </c>
      <c r="D8" s="19" t="s">
        <v>9</v>
      </c>
      <c r="E8" s="19">
        <v>1</v>
      </c>
      <c r="F8" s="19">
        <v>1</v>
      </c>
      <c r="G8" s="19">
        <v>5</v>
      </c>
      <c r="H8" s="19">
        <f t="shared" si="0"/>
        <v>3</v>
      </c>
      <c r="I8" s="19" t="s">
        <v>1629</v>
      </c>
      <c r="J8" s="19" t="s">
        <v>1630</v>
      </c>
      <c r="K8" s="19" t="s">
        <v>1631</v>
      </c>
      <c r="L8" s="19" t="s">
        <v>1632</v>
      </c>
      <c r="M8" s="19" t="s">
        <v>1633</v>
      </c>
      <c r="N8" s="19" t="s">
        <v>1634</v>
      </c>
    </row>
    <row r="9" spans="1:14" ht="45" customHeight="1" x14ac:dyDescent="0.45">
      <c r="A9" s="19" t="s">
        <v>1635</v>
      </c>
      <c r="B9" s="19" t="s">
        <v>180</v>
      </c>
      <c r="C9" s="19" t="s">
        <v>1636</v>
      </c>
      <c r="D9" s="19" t="s">
        <v>15</v>
      </c>
      <c r="E9" s="19">
        <v>3</v>
      </c>
      <c r="F9" s="19">
        <v>4</v>
      </c>
      <c r="G9" s="19">
        <v>4</v>
      </c>
      <c r="H9" s="19">
        <f t="shared" si="0"/>
        <v>9</v>
      </c>
      <c r="I9" s="19" t="s">
        <v>1637</v>
      </c>
      <c r="J9" s="19" t="s">
        <v>1638</v>
      </c>
      <c r="K9" s="19" t="s">
        <v>1639</v>
      </c>
      <c r="L9" s="19" t="s">
        <v>20</v>
      </c>
      <c r="M9" s="19" t="s">
        <v>1640</v>
      </c>
      <c r="N9" s="19" t="s">
        <v>1641</v>
      </c>
    </row>
    <row r="10" spans="1:14" ht="45" customHeight="1" x14ac:dyDescent="0.45">
      <c r="A10" s="19" t="s">
        <v>1642</v>
      </c>
      <c r="B10" s="19" t="s">
        <v>180</v>
      </c>
      <c r="C10" s="19" t="s">
        <v>1643</v>
      </c>
      <c r="D10" s="19" t="s">
        <v>15</v>
      </c>
      <c r="E10" s="19">
        <v>1</v>
      </c>
      <c r="F10" s="19">
        <v>2</v>
      </c>
      <c r="G10" s="19">
        <v>4</v>
      </c>
      <c r="H10" s="19">
        <f t="shared" si="0"/>
        <v>5</v>
      </c>
      <c r="I10" s="19" t="s">
        <v>1644</v>
      </c>
      <c r="J10" s="19" t="s">
        <v>1645</v>
      </c>
      <c r="K10" s="19" t="s">
        <v>1646</v>
      </c>
      <c r="L10" s="19" t="s">
        <v>20</v>
      </c>
      <c r="M10" s="19" t="s">
        <v>1647</v>
      </c>
      <c r="N10" s="19" t="s">
        <v>1648</v>
      </c>
    </row>
    <row r="11" spans="1:14" ht="45" customHeight="1" x14ac:dyDescent="0.45">
      <c r="A11" s="19" t="s">
        <v>1649</v>
      </c>
      <c r="B11" s="19" t="s">
        <v>151</v>
      </c>
      <c r="C11" s="19" t="s">
        <v>1650</v>
      </c>
      <c r="D11" s="19" t="s">
        <v>21</v>
      </c>
      <c r="E11" s="19">
        <v>4</v>
      </c>
      <c r="F11" s="19">
        <v>4</v>
      </c>
      <c r="G11" s="19">
        <v>3</v>
      </c>
      <c r="H11" s="19">
        <f t="shared" si="0"/>
        <v>11</v>
      </c>
      <c r="I11" s="19" t="s">
        <v>1651</v>
      </c>
      <c r="J11" s="19" t="s">
        <v>1652</v>
      </c>
      <c r="K11" s="19" t="s">
        <v>1653</v>
      </c>
      <c r="L11" s="19" t="s">
        <v>20</v>
      </c>
      <c r="M11" s="19" t="s">
        <v>1654</v>
      </c>
      <c r="N11" s="19" t="s">
        <v>1655</v>
      </c>
    </row>
    <row r="12" spans="1:14" ht="45" customHeight="1" x14ac:dyDescent="0.45">
      <c r="A12" s="19" t="s">
        <v>1656</v>
      </c>
      <c r="B12" s="19" t="s">
        <v>1657</v>
      </c>
      <c r="C12" s="19" t="s">
        <v>1658</v>
      </c>
      <c r="D12" s="19" t="s">
        <v>27</v>
      </c>
      <c r="E12" s="19">
        <v>3</v>
      </c>
      <c r="F12" s="19">
        <v>4</v>
      </c>
      <c r="G12" s="19">
        <v>2</v>
      </c>
      <c r="H12" s="19">
        <f t="shared" si="0"/>
        <v>11</v>
      </c>
      <c r="I12" s="19" t="s">
        <v>1659</v>
      </c>
      <c r="J12" s="19" t="s">
        <v>1660</v>
      </c>
      <c r="K12" s="19" t="s">
        <v>1661</v>
      </c>
      <c r="L12" s="19" t="s">
        <v>210</v>
      </c>
      <c r="M12" s="19" t="s">
        <v>1662</v>
      </c>
      <c r="N12" s="19" t="s">
        <v>1663</v>
      </c>
    </row>
    <row r="13" spans="1:14" ht="45" customHeight="1" x14ac:dyDescent="0.45">
      <c r="A13" s="19" t="s">
        <v>1664</v>
      </c>
      <c r="B13" s="19" t="s">
        <v>457</v>
      </c>
      <c r="C13" s="19" t="s">
        <v>1665</v>
      </c>
      <c r="D13" s="19" t="s">
        <v>461</v>
      </c>
      <c r="E13" s="19">
        <v>5</v>
      </c>
      <c r="F13" s="19">
        <v>2</v>
      </c>
      <c r="G13" s="19">
        <v>3</v>
      </c>
      <c r="H13" s="19">
        <f t="shared" si="0"/>
        <v>46063</v>
      </c>
      <c r="I13" s="19" t="s">
        <v>1666</v>
      </c>
      <c r="J13" s="19" t="s">
        <v>1667</v>
      </c>
      <c r="K13" s="19" t="s">
        <v>1668</v>
      </c>
      <c r="L13" s="19" t="s">
        <v>20</v>
      </c>
      <c r="M13" s="19" t="s">
        <v>1669</v>
      </c>
      <c r="N13" s="19" t="s">
        <v>1670</v>
      </c>
    </row>
    <row r="14" spans="1:14" ht="45" customHeight="1" x14ac:dyDescent="0.45">
      <c r="A14" s="19" t="s">
        <v>1671</v>
      </c>
      <c r="B14" s="19" t="s">
        <v>358</v>
      </c>
      <c r="C14" s="19" t="s">
        <v>1672</v>
      </c>
      <c r="D14" s="19" t="s">
        <v>21</v>
      </c>
      <c r="E14" s="19">
        <v>3</v>
      </c>
      <c r="F14" s="19">
        <v>2</v>
      </c>
      <c r="G14" s="19">
        <v>1</v>
      </c>
      <c r="H14" s="19">
        <f t="shared" si="0"/>
        <v>8</v>
      </c>
      <c r="I14" s="19" t="s">
        <v>1673</v>
      </c>
      <c r="J14" s="19" t="s">
        <v>1674</v>
      </c>
      <c r="K14" s="19" t="s">
        <v>1675</v>
      </c>
      <c r="L14" s="19" t="s">
        <v>1676</v>
      </c>
      <c r="M14" s="19" t="s">
        <v>1677</v>
      </c>
      <c r="N14" s="19" t="s">
        <v>1678</v>
      </c>
    </row>
    <row r="15" spans="1:14" ht="45" customHeight="1" x14ac:dyDescent="0.45">
      <c r="A15" s="19" t="s">
        <v>1679</v>
      </c>
      <c r="B15" s="19" t="s">
        <v>442</v>
      </c>
      <c r="C15" s="19" t="s">
        <v>1680</v>
      </c>
      <c r="D15" s="19" t="s">
        <v>33</v>
      </c>
      <c r="E15" s="19">
        <v>1</v>
      </c>
      <c r="F15" s="19">
        <v>1</v>
      </c>
      <c r="G15" s="19">
        <v>1</v>
      </c>
      <c r="H15" s="19">
        <f t="shared" si="0"/>
        <v>7</v>
      </c>
      <c r="I15" s="19" t="s">
        <v>1681</v>
      </c>
      <c r="J15" s="19" t="s">
        <v>1682</v>
      </c>
      <c r="K15" s="19" t="s">
        <v>1683</v>
      </c>
      <c r="L15" s="19" t="s">
        <v>32</v>
      </c>
      <c r="M15" s="19" t="s">
        <v>1684</v>
      </c>
      <c r="N15" s="19" t="s">
        <v>1685</v>
      </c>
    </row>
    <row r="16" spans="1:14" ht="45" customHeight="1" x14ac:dyDescent="0.45">
      <c r="A16" s="19" t="s">
        <v>1686</v>
      </c>
      <c r="B16" s="19" t="s">
        <v>1687</v>
      </c>
      <c r="C16" s="19" t="s">
        <v>1688</v>
      </c>
      <c r="D16" s="19" t="s">
        <v>1689</v>
      </c>
      <c r="E16" s="19">
        <v>2</v>
      </c>
      <c r="F16" s="19">
        <v>1</v>
      </c>
      <c r="G16" s="19">
        <v>1</v>
      </c>
      <c r="H16" s="19" t="e">
        <f t="shared" si="0"/>
        <v>#VALUE!</v>
      </c>
      <c r="I16" s="19" t="s">
        <v>1690</v>
      </c>
      <c r="J16" s="19" t="s">
        <v>1691</v>
      </c>
      <c r="K16" s="19" t="s">
        <v>1692</v>
      </c>
      <c r="L16" s="19" t="s">
        <v>32</v>
      </c>
      <c r="M16" s="19" t="s">
        <v>1693</v>
      </c>
      <c r="N16" s="19" t="s">
        <v>1694</v>
      </c>
    </row>
    <row r="17" spans="1:14" ht="45" customHeight="1" x14ac:dyDescent="0.45">
      <c r="A17" s="19" t="s">
        <v>1695</v>
      </c>
      <c r="B17" s="19" t="s">
        <v>165</v>
      </c>
      <c r="C17" s="19" t="s">
        <v>1696</v>
      </c>
      <c r="D17" s="19" t="s">
        <v>9</v>
      </c>
      <c r="E17" s="19">
        <v>2</v>
      </c>
      <c r="F17" s="19">
        <v>3</v>
      </c>
      <c r="G17" s="19">
        <v>5</v>
      </c>
      <c r="H17" s="19">
        <f t="shared" si="0"/>
        <v>6</v>
      </c>
      <c r="I17" s="19" t="s">
        <v>1697</v>
      </c>
      <c r="J17" s="19" t="s">
        <v>1698</v>
      </c>
      <c r="K17" s="19" t="s">
        <v>1699</v>
      </c>
      <c r="L17" s="19" t="s">
        <v>14</v>
      </c>
      <c r="M17" s="19" t="s">
        <v>1700</v>
      </c>
      <c r="N17" s="19" t="s">
        <v>1701</v>
      </c>
    </row>
    <row r="18" spans="1:14" ht="45" customHeight="1" x14ac:dyDescent="0.45">
      <c r="A18" s="19" t="s">
        <v>1702</v>
      </c>
      <c r="B18" s="19" t="s">
        <v>1703</v>
      </c>
      <c r="C18" s="19" t="s">
        <v>1704</v>
      </c>
      <c r="D18" s="19" t="s">
        <v>15</v>
      </c>
      <c r="E18" s="19">
        <v>4</v>
      </c>
      <c r="F18" s="19">
        <v>3</v>
      </c>
      <c r="G18" s="19">
        <v>4</v>
      </c>
      <c r="H18" s="19">
        <f t="shared" si="0"/>
        <v>9</v>
      </c>
      <c r="I18" s="19" t="s">
        <v>1705</v>
      </c>
      <c r="J18" s="19" t="s">
        <v>1706</v>
      </c>
      <c r="K18" s="19" t="s">
        <v>1707</v>
      </c>
      <c r="L18" s="19" t="s">
        <v>20</v>
      </c>
      <c r="M18" s="19" t="s">
        <v>1708</v>
      </c>
      <c r="N18" s="19" t="s">
        <v>1709</v>
      </c>
    </row>
  </sheetData>
  <mergeCells count="1">
    <mergeCell ref="A1:N1"/>
  </mergeCells>
  <conditionalFormatting sqref="H3:H18">
    <cfRule type="colorScale" priority="1">
      <colorScale>
        <cfvo type="num" val="0"/>
        <cfvo type="num" val="9"/>
        <cfvo type="num" val="15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5A11"/>
  </sheetPr>
  <dimension ref="A1:N15"/>
  <sheetViews>
    <sheetView workbookViewId="0">
      <pane ySplit="2" topLeftCell="A3" activePane="bottomLeft" state="frozen"/>
      <selection pane="bottomLeft" sqref="A1:N1"/>
    </sheetView>
  </sheetViews>
  <sheetFormatPr defaultRowHeight="14.25" x14ac:dyDescent="0.45"/>
  <cols>
    <col min="1" max="1" width="30" customWidth="1"/>
    <col min="2" max="2" width="25" customWidth="1"/>
    <col min="3" max="3" width="14" customWidth="1"/>
    <col min="4" max="4" width="16" customWidth="1"/>
    <col min="5" max="5" width="20" customWidth="1"/>
    <col min="6" max="6" width="22" customWidth="1"/>
    <col min="7" max="7" width="18" customWidth="1"/>
    <col min="8" max="8" width="22" customWidth="1"/>
    <col min="9" max="9" width="30" customWidth="1"/>
    <col min="10" max="10" width="35" customWidth="1"/>
    <col min="11" max="11" width="50" customWidth="1"/>
    <col min="12" max="12" width="18" customWidth="1"/>
    <col min="13" max="13" width="22" customWidth="1"/>
    <col min="14" max="14" width="35" customWidth="1"/>
  </cols>
  <sheetData>
    <row r="1" spans="1:14" ht="22.05" customHeight="1" x14ac:dyDescent="0.45">
      <c r="A1" s="48" t="s">
        <v>1710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20" customHeight="1" x14ac:dyDescent="0.45">
      <c r="A2" s="20" t="s">
        <v>1711</v>
      </c>
      <c r="B2" s="20" t="s">
        <v>1712</v>
      </c>
      <c r="C2" s="20" t="s">
        <v>1169</v>
      </c>
      <c r="D2" s="20" t="s">
        <v>1713</v>
      </c>
      <c r="E2" s="20" t="s">
        <v>1714</v>
      </c>
      <c r="F2" s="20" t="s">
        <v>1715</v>
      </c>
      <c r="G2" s="20" t="s">
        <v>1716</v>
      </c>
      <c r="H2" s="20" t="s">
        <v>1717</v>
      </c>
      <c r="I2" s="20" t="s">
        <v>1718</v>
      </c>
      <c r="J2" s="20" t="s">
        <v>1719</v>
      </c>
      <c r="K2" s="20" t="s">
        <v>1586</v>
      </c>
      <c r="L2" s="20" t="s">
        <v>1720</v>
      </c>
      <c r="M2" s="20" t="s">
        <v>1721</v>
      </c>
      <c r="N2" s="20" t="s">
        <v>1722</v>
      </c>
    </row>
    <row r="3" spans="1:14" ht="50" customHeight="1" x14ac:dyDescent="0.45">
      <c r="A3" s="19" t="s">
        <v>1723</v>
      </c>
      <c r="B3" s="19" t="s">
        <v>1724</v>
      </c>
      <c r="C3" s="19" t="s">
        <v>688</v>
      </c>
      <c r="D3" s="19" t="s">
        <v>1725</v>
      </c>
      <c r="E3" s="19" t="s">
        <v>1726</v>
      </c>
      <c r="F3" s="19" t="s">
        <v>1727</v>
      </c>
      <c r="G3" s="19" t="s">
        <v>1728</v>
      </c>
      <c r="H3" s="19" t="s">
        <v>1729</v>
      </c>
      <c r="I3" s="19" t="s">
        <v>1730</v>
      </c>
      <c r="J3" s="19" t="s">
        <v>1731</v>
      </c>
      <c r="K3" s="19" t="s">
        <v>1732</v>
      </c>
      <c r="L3" s="19" t="s">
        <v>1733</v>
      </c>
      <c r="M3" s="19" t="s">
        <v>1734</v>
      </c>
      <c r="N3" s="19" t="s">
        <v>1735</v>
      </c>
    </row>
    <row r="4" spans="1:14" ht="50" customHeight="1" x14ac:dyDescent="0.45">
      <c r="A4" s="21" t="s">
        <v>1736</v>
      </c>
      <c r="B4" s="21" t="s">
        <v>767</v>
      </c>
      <c r="C4" s="21" t="s">
        <v>688</v>
      </c>
      <c r="D4" s="21" t="s">
        <v>1737</v>
      </c>
      <c r="E4" s="21" t="s">
        <v>1738</v>
      </c>
      <c r="F4" s="21" t="s">
        <v>1739</v>
      </c>
      <c r="G4" s="21" t="s">
        <v>1740</v>
      </c>
      <c r="H4" s="21" t="s">
        <v>1741</v>
      </c>
      <c r="I4" s="21" t="s">
        <v>1742</v>
      </c>
      <c r="J4" s="21" t="s">
        <v>1743</v>
      </c>
      <c r="K4" s="21" t="s">
        <v>1744</v>
      </c>
      <c r="L4" s="21" t="s">
        <v>1745</v>
      </c>
      <c r="M4" s="21" t="s">
        <v>1746</v>
      </c>
      <c r="N4" s="21" t="s">
        <v>1747</v>
      </c>
    </row>
    <row r="5" spans="1:14" ht="50" customHeight="1" x14ac:dyDescent="0.45">
      <c r="A5" s="19" t="s">
        <v>1748</v>
      </c>
      <c r="B5" s="19" t="s">
        <v>704</v>
      </c>
      <c r="C5" s="19" t="s">
        <v>688</v>
      </c>
      <c r="D5" s="19" t="s">
        <v>1749</v>
      </c>
      <c r="E5" s="19" t="s">
        <v>1750</v>
      </c>
      <c r="F5" s="19" t="s">
        <v>1751</v>
      </c>
      <c r="G5" s="19" t="s">
        <v>1752</v>
      </c>
      <c r="H5" s="19" t="s">
        <v>1753</v>
      </c>
      <c r="I5" s="19" t="s">
        <v>1754</v>
      </c>
      <c r="J5" s="19" t="s">
        <v>1755</v>
      </c>
      <c r="K5" s="19" t="s">
        <v>1756</v>
      </c>
      <c r="L5" s="19" t="s">
        <v>1757</v>
      </c>
      <c r="M5" s="19" t="s">
        <v>1758</v>
      </c>
      <c r="N5" s="19" t="s">
        <v>1759</v>
      </c>
    </row>
    <row r="6" spans="1:14" ht="50" customHeight="1" x14ac:dyDescent="0.45">
      <c r="A6" s="21" t="s">
        <v>1760</v>
      </c>
      <c r="B6" s="21" t="s">
        <v>1761</v>
      </c>
      <c r="C6" s="21" t="s">
        <v>688</v>
      </c>
      <c r="D6" s="21" t="s">
        <v>1762</v>
      </c>
      <c r="E6" s="21" t="s">
        <v>1763</v>
      </c>
      <c r="F6" s="21" t="s">
        <v>1764</v>
      </c>
      <c r="G6" s="21" t="s">
        <v>32</v>
      </c>
      <c r="H6" s="21" t="s">
        <v>20</v>
      </c>
      <c r="I6" s="21" t="s">
        <v>1765</v>
      </c>
      <c r="J6" s="21" t="s">
        <v>1766</v>
      </c>
      <c r="K6" s="21" t="s">
        <v>1767</v>
      </c>
      <c r="L6" s="21" t="s">
        <v>1745</v>
      </c>
      <c r="M6" s="21" t="s">
        <v>1768</v>
      </c>
      <c r="N6" s="21" t="s">
        <v>1769</v>
      </c>
    </row>
    <row r="7" spans="1:14" ht="50" customHeight="1" x14ac:dyDescent="0.45">
      <c r="A7" s="19" t="s">
        <v>1770</v>
      </c>
      <c r="B7" s="19" t="s">
        <v>1771</v>
      </c>
      <c r="C7" s="19" t="s">
        <v>688</v>
      </c>
      <c r="D7" s="19" t="s">
        <v>1772</v>
      </c>
      <c r="E7" s="19" t="s">
        <v>1773</v>
      </c>
      <c r="F7" s="19" t="s">
        <v>1774</v>
      </c>
      <c r="G7" s="19" t="s">
        <v>1775</v>
      </c>
      <c r="H7" s="19" t="s">
        <v>1776</v>
      </c>
      <c r="I7" s="19" t="s">
        <v>1777</v>
      </c>
      <c r="J7" s="19" t="s">
        <v>1778</v>
      </c>
      <c r="K7" s="19" t="s">
        <v>1779</v>
      </c>
      <c r="L7" s="19" t="s">
        <v>1780</v>
      </c>
      <c r="M7" s="19" t="s">
        <v>1781</v>
      </c>
      <c r="N7" s="19" t="s">
        <v>1782</v>
      </c>
    </row>
    <row r="8" spans="1:14" ht="50" customHeight="1" x14ac:dyDescent="0.45">
      <c r="A8" s="21" t="s">
        <v>1783</v>
      </c>
      <c r="B8" s="21" t="s">
        <v>1784</v>
      </c>
      <c r="C8" s="21" t="s">
        <v>688</v>
      </c>
      <c r="D8" s="21" t="s">
        <v>1785</v>
      </c>
      <c r="E8" s="21" t="s">
        <v>1786</v>
      </c>
      <c r="F8" s="21" t="s">
        <v>1787</v>
      </c>
      <c r="G8" s="21" t="s">
        <v>32</v>
      </c>
      <c r="H8" s="21" t="s">
        <v>210</v>
      </c>
      <c r="I8" s="21" t="s">
        <v>1788</v>
      </c>
      <c r="J8" s="21" t="s">
        <v>1789</v>
      </c>
      <c r="K8" s="21" t="s">
        <v>1790</v>
      </c>
      <c r="L8" s="21" t="s">
        <v>1745</v>
      </c>
      <c r="M8" s="21" t="s">
        <v>1791</v>
      </c>
      <c r="N8" s="21" t="s">
        <v>738</v>
      </c>
    </row>
    <row r="9" spans="1:14" ht="50" customHeight="1" x14ac:dyDescent="0.45">
      <c r="A9" s="19" t="s">
        <v>1792</v>
      </c>
      <c r="B9" s="19" t="s">
        <v>1793</v>
      </c>
      <c r="C9" s="19" t="s">
        <v>457</v>
      </c>
      <c r="D9" s="19" t="s">
        <v>1794</v>
      </c>
      <c r="E9" s="19" t="s">
        <v>1795</v>
      </c>
      <c r="F9" s="19" t="s">
        <v>1796</v>
      </c>
      <c r="G9" s="19" t="s">
        <v>1740</v>
      </c>
      <c r="H9" s="19" t="s">
        <v>1797</v>
      </c>
      <c r="I9" s="19" t="s">
        <v>1798</v>
      </c>
      <c r="J9" s="19" t="s">
        <v>1799</v>
      </c>
      <c r="K9" s="19" t="s">
        <v>1800</v>
      </c>
      <c r="L9" s="19" t="s">
        <v>1745</v>
      </c>
      <c r="M9" s="19" t="s">
        <v>1801</v>
      </c>
      <c r="N9" s="19" t="s">
        <v>1802</v>
      </c>
    </row>
    <row r="10" spans="1:14" ht="50" customHeight="1" x14ac:dyDescent="0.45">
      <c r="A10" s="21" t="s">
        <v>1803</v>
      </c>
      <c r="B10" s="21" t="s">
        <v>767</v>
      </c>
      <c r="C10" s="21" t="s">
        <v>1804</v>
      </c>
      <c r="D10" s="21" t="s">
        <v>1805</v>
      </c>
      <c r="E10" s="21" t="s">
        <v>1806</v>
      </c>
      <c r="F10" s="21" t="s">
        <v>1807</v>
      </c>
      <c r="G10" s="21" t="s">
        <v>1808</v>
      </c>
      <c r="H10" s="21" t="s">
        <v>32</v>
      </c>
      <c r="I10" s="21" t="s">
        <v>1809</v>
      </c>
      <c r="J10" s="21" t="s">
        <v>1810</v>
      </c>
      <c r="K10" s="21" t="s">
        <v>1811</v>
      </c>
      <c r="L10" s="21" t="s">
        <v>1745</v>
      </c>
      <c r="M10" s="21" t="s">
        <v>1758</v>
      </c>
      <c r="N10" s="21" t="s">
        <v>1812</v>
      </c>
    </row>
    <row r="11" spans="1:14" ht="50" customHeight="1" x14ac:dyDescent="0.45">
      <c r="A11" s="19" t="s">
        <v>1813</v>
      </c>
      <c r="B11" s="19" t="s">
        <v>756</v>
      </c>
      <c r="C11" s="19" t="s">
        <v>758</v>
      </c>
      <c r="D11" s="19" t="s">
        <v>1814</v>
      </c>
      <c r="E11" s="19" t="s">
        <v>1806</v>
      </c>
      <c r="F11" s="19" t="s">
        <v>1815</v>
      </c>
      <c r="G11" s="19" t="s">
        <v>32</v>
      </c>
      <c r="H11" s="19" t="s">
        <v>32</v>
      </c>
      <c r="I11" s="19" t="s">
        <v>1816</v>
      </c>
      <c r="J11" s="19" t="s">
        <v>1817</v>
      </c>
      <c r="K11" s="19" t="s">
        <v>1818</v>
      </c>
      <c r="L11" s="19" t="s">
        <v>1745</v>
      </c>
      <c r="M11" s="19" t="s">
        <v>1758</v>
      </c>
      <c r="N11" s="19" t="s">
        <v>1819</v>
      </c>
    </row>
    <row r="12" spans="1:14" ht="50" customHeight="1" x14ac:dyDescent="0.45">
      <c r="A12" s="21" t="s">
        <v>1820</v>
      </c>
      <c r="B12" s="21" t="s">
        <v>1821</v>
      </c>
      <c r="C12" s="21" t="s">
        <v>442</v>
      </c>
      <c r="D12" s="21" t="s">
        <v>1822</v>
      </c>
      <c r="E12" s="21" t="s">
        <v>1823</v>
      </c>
      <c r="F12" s="21" t="s">
        <v>1824</v>
      </c>
      <c r="G12" s="21" t="s">
        <v>1825</v>
      </c>
      <c r="H12" s="21" t="s">
        <v>1826</v>
      </c>
      <c r="I12" s="21" t="s">
        <v>1827</v>
      </c>
      <c r="J12" s="21" t="s">
        <v>1828</v>
      </c>
      <c r="K12" s="21" t="s">
        <v>1829</v>
      </c>
      <c r="L12" s="21" t="s">
        <v>1830</v>
      </c>
      <c r="M12" s="21" t="s">
        <v>1758</v>
      </c>
      <c r="N12" s="21" t="s">
        <v>1831</v>
      </c>
    </row>
    <row r="13" spans="1:14" ht="50" customHeight="1" x14ac:dyDescent="0.45">
      <c r="A13" s="19" t="s">
        <v>1832</v>
      </c>
      <c r="B13" s="19" t="s">
        <v>1833</v>
      </c>
      <c r="C13" s="19" t="s">
        <v>442</v>
      </c>
      <c r="D13" s="19" t="s">
        <v>1834</v>
      </c>
      <c r="E13" s="19" t="s">
        <v>1835</v>
      </c>
      <c r="F13" s="19" t="s">
        <v>1836</v>
      </c>
      <c r="G13" s="19" t="s">
        <v>1837</v>
      </c>
      <c r="H13" s="19" t="s">
        <v>1838</v>
      </c>
      <c r="I13" s="19" t="s">
        <v>1839</v>
      </c>
      <c r="J13" s="19" t="s">
        <v>1840</v>
      </c>
      <c r="K13" s="19" t="s">
        <v>1841</v>
      </c>
      <c r="L13" s="19" t="s">
        <v>1842</v>
      </c>
      <c r="M13" s="19" t="s">
        <v>1758</v>
      </c>
      <c r="N13" s="19" t="s">
        <v>1843</v>
      </c>
    </row>
    <row r="14" spans="1:14" ht="50" customHeight="1" x14ac:dyDescent="0.45">
      <c r="A14" s="21" t="s">
        <v>1844</v>
      </c>
      <c r="B14" s="21" t="s">
        <v>1845</v>
      </c>
      <c r="C14" s="21" t="s">
        <v>442</v>
      </c>
      <c r="D14" s="21" t="s">
        <v>1846</v>
      </c>
      <c r="E14" s="21" t="s">
        <v>1847</v>
      </c>
      <c r="F14" s="21" t="s">
        <v>1848</v>
      </c>
      <c r="G14" s="21" t="s">
        <v>1849</v>
      </c>
      <c r="H14" s="21" t="s">
        <v>1850</v>
      </c>
      <c r="I14" s="21" t="s">
        <v>1851</v>
      </c>
      <c r="J14" s="21" t="s">
        <v>1852</v>
      </c>
      <c r="K14" s="21" t="s">
        <v>1853</v>
      </c>
      <c r="L14" s="21" t="s">
        <v>1745</v>
      </c>
      <c r="M14" s="21" t="s">
        <v>1758</v>
      </c>
      <c r="N14" s="21" t="s">
        <v>1854</v>
      </c>
    </row>
    <row r="15" spans="1:14" ht="50" customHeight="1" x14ac:dyDescent="0.45">
      <c r="A15" s="19" t="s">
        <v>1855</v>
      </c>
      <c r="B15" s="19" t="s">
        <v>1856</v>
      </c>
      <c r="C15" s="19" t="s">
        <v>442</v>
      </c>
      <c r="D15" s="19" t="s">
        <v>1857</v>
      </c>
      <c r="E15" s="19" t="s">
        <v>1858</v>
      </c>
      <c r="F15" s="19" t="s">
        <v>1859</v>
      </c>
      <c r="G15" s="19" t="s">
        <v>451</v>
      </c>
      <c r="H15" s="19" t="s">
        <v>1860</v>
      </c>
      <c r="I15" s="19" t="s">
        <v>1861</v>
      </c>
      <c r="J15" s="19" t="s">
        <v>1862</v>
      </c>
      <c r="K15" s="19" t="s">
        <v>1863</v>
      </c>
      <c r="L15" s="19" t="s">
        <v>1745</v>
      </c>
      <c r="M15" s="19" t="s">
        <v>1864</v>
      </c>
      <c r="N15" s="19" t="s">
        <v>1865</v>
      </c>
    </row>
  </sheetData>
  <mergeCells count="1">
    <mergeCell ref="A1:N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M42"/>
  <sheetViews>
    <sheetView tabSelected="1" workbookViewId="0">
      <selection sqref="A1:M1"/>
    </sheetView>
  </sheetViews>
  <sheetFormatPr defaultRowHeight="14.25" x14ac:dyDescent="0.45"/>
  <cols>
    <col min="1" max="1" width="3" customWidth="1"/>
    <col min="2" max="2" width="28" customWidth="1"/>
    <col min="3" max="5" width="12" customWidth="1"/>
    <col min="6" max="6" width="30" customWidth="1"/>
    <col min="7" max="7" width="18" customWidth="1"/>
    <col min="8" max="10" width="12" customWidth="1"/>
    <col min="11" max="11" width="3" customWidth="1"/>
  </cols>
  <sheetData>
    <row r="1" spans="1:13" ht="22.05" customHeight="1" x14ac:dyDescent="0.45">
      <c r="A1" s="50" t="s">
        <v>1866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3" spans="1:13" x14ac:dyDescent="0.45">
      <c r="B3" s="49" t="s">
        <v>1867</v>
      </c>
      <c r="C3" s="38"/>
      <c r="D3" s="38"/>
      <c r="E3" s="38"/>
      <c r="G3" s="49" t="s">
        <v>1868</v>
      </c>
      <c r="H3" s="38"/>
      <c r="I3" s="38"/>
      <c r="J3" s="38"/>
    </row>
    <row r="4" spans="1:13" ht="18" customHeight="1" x14ac:dyDescent="0.45">
      <c r="B4" s="1" t="s">
        <v>1144</v>
      </c>
      <c r="C4" s="1" t="s">
        <v>1869</v>
      </c>
      <c r="D4" s="1" t="s">
        <v>1870</v>
      </c>
      <c r="E4" s="1" t="s">
        <v>1871</v>
      </c>
      <c r="G4" s="8" t="s">
        <v>91</v>
      </c>
      <c r="H4" s="8" t="s">
        <v>1869</v>
      </c>
      <c r="I4" s="8" t="s">
        <v>1870</v>
      </c>
      <c r="J4" s="8" t="s">
        <v>1871</v>
      </c>
    </row>
    <row r="5" spans="1:13" ht="16.05" customHeight="1" x14ac:dyDescent="0.45">
      <c r="B5" s="22" t="s">
        <v>1872</v>
      </c>
      <c r="C5" s="22">
        <v>32</v>
      </c>
      <c r="D5" s="23">
        <f t="shared" ref="D5:D16" si="0">C5/80</f>
        <v>0.4</v>
      </c>
      <c r="E5" s="22">
        <v>32</v>
      </c>
      <c r="G5" s="24" t="s">
        <v>109</v>
      </c>
      <c r="H5" s="22">
        <v>19</v>
      </c>
      <c r="I5" s="23">
        <f>H5/80</f>
        <v>0.23749999999999999</v>
      </c>
      <c r="J5" s="22">
        <v>19</v>
      </c>
    </row>
    <row r="6" spans="1:13" ht="16.05" customHeight="1" x14ac:dyDescent="0.45">
      <c r="B6" s="22" t="s">
        <v>1873</v>
      </c>
      <c r="C6" s="22">
        <v>22</v>
      </c>
      <c r="D6" s="23">
        <f t="shared" si="0"/>
        <v>0.27500000000000002</v>
      </c>
      <c r="E6" s="22">
        <v>22</v>
      </c>
      <c r="G6" s="25" t="s">
        <v>20</v>
      </c>
      <c r="H6" s="22">
        <v>16</v>
      </c>
      <c r="I6" s="23">
        <f>H6/80</f>
        <v>0.2</v>
      </c>
      <c r="J6" s="22">
        <v>16</v>
      </c>
    </row>
    <row r="7" spans="1:13" ht="16.05" customHeight="1" x14ac:dyDescent="0.45">
      <c r="B7" s="22" t="s">
        <v>1874</v>
      </c>
      <c r="C7" s="22">
        <v>4</v>
      </c>
      <c r="D7" s="23">
        <f t="shared" si="0"/>
        <v>0.05</v>
      </c>
      <c r="E7" s="22">
        <v>4</v>
      </c>
      <c r="G7" s="26" t="s">
        <v>210</v>
      </c>
      <c r="H7" s="22">
        <v>17</v>
      </c>
      <c r="I7" s="23">
        <f>H7/80</f>
        <v>0.21249999999999999</v>
      </c>
      <c r="J7" s="22">
        <v>17</v>
      </c>
    </row>
    <row r="8" spans="1:13" ht="16.05" customHeight="1" x14ac:dyDescent="0.45">
      <c r="B8" s="22" t="s">
        <v>1875</v>
      </c>
      <c r="C8" s="22">
        <v>4</v>
      </c>
      <c r="D8" s="23">
        <f t="shared" si="0"/>
        <v>0.05</v>
      </c>
      <c r="E8" s="22">
        <v>4</v>
      </c>
      <c r="G8" s="27" t="s">
        <v>1876</v>
      </c>
      <c r="H8" s="22">
        <v>28</v>
      </c>
      <c r="I8" s="23">
        <f>H8/80</f>
        <v>0.35</v>
      </c>
      <c r="J8" s="22">
        <v>28</v>
      </c>
    </row>
    <row r="9" spans="1:13" ht="16.05" customHeight="1" x14ac:dyDescent="0.45">
      <c r="B9" s="22" t="s">
        <v>1877</v>
      </c>
      <c r="C9" s="22">
        <v>4</v>
      </c>
      <c r="D9" s="23">
        <f t="shared" si="0"/>
        <v>0.05</v>
      </c>
      <c r="E9" s="22">
        <v>4</v>
      </c>
    </row>
    <row r="10" spans="1:13" ht="16.05" customHeight="1" x14ac:dyDescent="0.45">
      <c r="B10" s="22" t="s">
        <v>1878</v>
      </c>
      <c r="C10" s="22">
        <v>3</v>
      </c>
      <c r="D10" s="23">
        <f t="shared" si="0"/>
        <v>3.7499999999999999E-2</v>
      </c>
      <c r="E10" s="22">
        <v>3</v>
      </c>
    </row>
    <row r="11" spans="1:13" ht="16.05" customHeight="1" x14ac:dyDescent="0.45">
      <c r="B11" s="22" t="s">
        <v>1879</v>
      </c>
      <c r="C11" s="22">
        <v>3</v>
      </c>
      <c r="D11" s="23">
        <f t="shared" si="0"/>
        <v>3.7499999999999999E-2</v>
      </c>
      <c r="E11" s="22">
        <v>3</v>
      </c>
    </row>
    <row r="12" spans="1:13" ht="16.05" customHeight="1" x14ac:dyDescent="0.45">
      <c r="B12" s="22" t="s">
        <v>1880</v>
      </c>
      <c r="C12" s="22">
        <v>2</v>
      </c>
      <c r="D12" s="23">
        <f t="shared" si="0"/>
        <v>2.5000000000000001E-2</v>
      </c>
      <c r="E12" s="22">
        <v>2</v>
      </c>
    </row>
    <row r="13" spans="1:13" ht="16.05" customHeight="1" x14ac:dyDescent="0.45">
      <c r="B13" s="22" t="s">
        <v>1881</v>
      </c>
      <c r="C13" s="22">
        <v>2</v>
      </c>
      <c r="D13" s="23">
        <f t="shared" si="0"/>
        <v>2.5000000000000001E-2</v>
      </c>
      <c r="E13" s="22">
        <v>2</v>
      </c>
    </row>
    <row r="14" spans="1:13" ht="16.05" customHeight="1" x14ac:dyDescent="0.45">
      <c r="B14" s="22" t="s">
        <v>1882</v>
      </c>
      <c r="C14" s="22">
        <v>2</v>
      </c>
      <c r="D14" s="23">
        <f t="shared" si="0"/>
        <v>2.5000000000000001E-2</v>
      </c>
      <c r="E14" s="22">
        <v>2</v>
      </c>
    </row>
    <row r="15" spans="1:13" ht="16.05" customHeight="1" x14ac:dyDescent="0.45">
      <c r="B15" s="22" t="s">
        <v>1883</v>
      </c>
      <c r="C15" s="22">
        <v>1</v>
      </c>
      <c r="D15" s="23">
        <f t="shared" si="0"/>
        <v>1.2500000000000001E-2</v>
      </c>
      <c r="E15" s="22">
        <v>1</v>
      </c>
    </row>
    <row r="16" spans="1:13" ht="16.05" customHeight="1" x14ac:dyDescent="0.45">
      <c r="B16" s="22" t="s">
        <v>1884</v>
      </c>
      <c r="C16" s="22">
        <v>1</v>
      </c>
      <c r="D16" s="23">
        <f t="shared" si="0"/>
        <v>1.2500000000000001E-2</v>
      </c>
      <c r="E16" s="22">
        <v>1</v>
      </c>
    </row>
    <row r="19" spans="2:7" x14ac:dyDescent="0.45">
      <c r="B19" s="49" t="s">
        <v>1885</v>
      </c>
      <c r="C19" s="38"/>
      <c r="D19" s="38"/>
      <c r="E19" s="38"/>
      <c r="F19" s="38"/>
      <c r="G19" s="38"/>
    </row>
    <row r="20" spans="2:7" x14ac:dyDescent="0.45">
      <c r="B20" s="1" t="s">
        <v>1169</v>
      </c>
      <c r="C20" s="1" t="s">
        <v>1886</v>
      </c>
      <c r="D20" s="1" t="s">
        <v>1887</v>
      </c>
      <c r="E20" s="1" t="s">
        <v>88</v>
      </c>
      <c r="F20" s="1" t="s">
        <v>43</v>
      </c>
    </row>
    <row r="21" spans="2:7" ht="16.05" customHeight="1" x14ac:dyDescent="0.45">
      <c r="B21" s="22" t="s">
        <v>165</v>
      </c>
      <c r="C21" s="22">
        <v>8</v>
      </c>
      <c r="D21" s="23">
        <f t="shared" ref="D21:D40" si="1">C21/80</f>
        <v>0.1</v>
      </c>
      <c r="E21" s="22" t="s">
        <v>1202</v>
      </c>
      <c r="F21" s="22"/>
    </row>
    <row r="22" spans="2:7" ht="16.05" customHeight="1" x14ac:dyDescent="0.45">
      <c r="B22" s="22" t="s">
        <v>266</v>
      </c>
      <c r="C22" s="22">
        <v>6</v>
      </c>
      <c r="D22" s="23">
        <f t="shared" si="1"/>
        <v>7.4999999999999997E-2</v>
      </c>
      <c r="E22" s="22" t="s">
        <v>1229</v>
      </c>
      <c r="F22" s="22"/>
    </row>
    <row r="23" spans="2:7" ht="16.05" customHeight="1" x14ac:dyDescent="0.45">
      <c r="B23" s="22" t="s">
        <v>151</v>
      </c>
      <c r="C23" s="22">
        <v>6</v>
      </c>
      <c r="D23" s="23">
        <f t="shared" si="1"/>
        <v>7.4999999999999997E-2</v>
      </c>
      <c r="E23" s="22" t="s">
        <v>1215</v>
      </c>
      <c r="F23" s="22"/>
    </row>
    <row r="24" spans="2:7" ht="16.05" customHeight="1" x14ac:dyDescent="0.45">
      <c r="B24" s="22" t="s">
        <v>620</v>
      </c>
      <c r="C24" s="22">
        <v>6</v>
      </c>
      <c r="D24" s="23">
        <f t="shared" si="1"/>
        <v>7.4999999999999997E-2</v>
      </c>
      <c r="E24" s="22" t="s">
        <v>1888</v>
      </c>
      <c r="F24" s="22"/>
    </row>
    <row r="25" spans="2:7" ht="16.05" customHeight="1" x14ac:dyDescent="0.45">
      <c r="B25" s="22" t="s">
        <v>237</v>
      </c>
      <c r="C25" s="22">
        <v>4</v>
      </c>
      <c r="D25" s="23">
        <f t="shared" si="1"/>
        <v>0.05</v>
      </c>
      <c r="E25" s="22" t="s">
        <v>1244</v>
      </c>
      <c r="F25" s="22"/>
    </row>
    <row r="26" spans="2:7" ht="16.05" customHeight="1" x14ac:dyDescent="0.45">
      <c r="B26" s="22" t="s">
        <v>442</v>
      </c>
      <c r="C26" s="22">
        <v>4</v>
      </c>
      <c r="D26" s="23">
        <f t="shared" si="1"/>
        <v>0.05</v>
      </c>
      <c r="E26" s="22" t="s">
        <v>1377</v>
      </c>
      <c r="F26" s="22"/>
    </row>
    <row r="27" spans="2:7" ht="16.05" customHeight="1" x14ac:dyDescent="0.45">
      <c r="B27" s="22" t="s">
        <v>457</v>
      </c>
      <c r="C27" s="22">
        <v>4</v>
      </c>
      <c r="D27" s="23">
        <f t="shared" si="1"/>
        <v>0.05</v>
      </c>
      <c r="E27" s="22" t="s">
        <v>1348</v>
      </c>
      <c r="F27" s="22"/>
    </row>
    <row r="28" spans="2:7" ht="16.05" customHeight="1" x14ac:dyDescent="0.45">
      <c r="B28" s="22" t="s">
        <v>1889</v>
      </c>
      <c r="C28" s="22">
        <v>4</v>
      </c>
      <c r="D28" s="23">
        <f t="shared" si="1"/>
        <v>0.05</v>
      </c>
      <c r="E28" s="22" t="s">
        <v>1890</v>
      </c>
      <c r="F28" s="22"/>
    </row>
    <row r="29" spans="2:7" ht="16.05" customHeight="1" x14ac:dyDescent="0.45">
      <c r="B29" s="22" t="s">
        <v>1891</v>
      </c>
      <c r="C29" s="22">
        <v>3</v>
      </c>
      <c r="D29" s="23">
        <f t="shared" si="1"/>
        <v>3.7499999999999999E-2</v>
      </c>
      <c r="E29" s="22"/>
      <c r="F29" s="22"/>
    </row>
    <row r="30" spans="2:7" ht="16.05" customHeight="1" x14ac:dyDescent="0.45">
      <c r="B30" s="22" t="s">
        <v>180</v>
      </c>
      <c r="C30" s="22">
        <v>3</v>
      </c>
      <c r="D30" s="23">
        <f t="shared" si="1"/>
        <v>3.7499999999999999E-2</v>
      </c>
      <c r="E30" s="22" t="s">
        <v>1187</v>
      </c>
      <c r="F30" s="22"/>
    </row>
    <row r="31" spans="2:7" ht="16.05" customHeight="1" x14ac:dyDescent="0.45">
      <c r="B31" s="22" t="s">
        <v>320</v>
      </c>
      <c r="C31" s="22">
        <v>2</v>
      </c>
      <c r="D31" s="23">
        <f t="shared" si="1"/>
        <v>2.5000000000000001E-2</v>
      </c>
      <c r="E31" s="22" t="s">
        <v>1258</v>
      </c>
      <c r="F31" s="22"/>
    </row>
    <row r="32" spans="2:7" ht="16.05" customHeight="1" x14ac:dyDescent="0.45">
      <c r="B32" s="22" t="s">
        <v>222</v>
      </c>
      <c r="C32" s="22">
        <v>2</v>
      </c>
      <c r="D32" s="23">
        <f t="shared" si="1"/>
        <v>2.5000000000000001E-2</v>
      </c>
      <c r="E32" s="22" t="s">
        <v>224</v>
      </c>
      <c r="F32" s="22"/>
    </row>
    <row r="33" spans="2:6" ht="16.05" customHeight="1" x14ac:dyDescent="0.45">
      <c r="B33" s="22" t="s">
        <v>358</v>
      </c>
      <c r="C33" s="22">
        <v>2</v>
      </c>
      <c r="D33" s="23">
        <f t="shared" si="1"/>
        <v>2.5000000000000001E-2</v>
      </c>
      <c r="E33" s="22"/>
      <c r="F33" s="22"/>
    </row>
    <row r="34" spans="2:6" ht="16.05" customHeight="1" x14ac:dyDescent="0.45">
      <c r="B34" s="22" t="s">
        <v>1043</v>
      </c>
      <c r="C34" s="22">
        <v>2</v>
      </c>
      <c r="D34" s="23">
        <f t="shared" si="1"/>
        <v>2.5000000000000001E-2</v>
      </c>
      <c r="E34" s="22" t="s">
        <v>1892</v>
      </c>
      <c r="F34" s="22"/>
    </row>
    <row r="35" spans="2:6" ht="16.05" customHeight="1" x14ac:dyDescent="0.45">
      <c r="B35" s="22" t="s">
        <v>563</v>
      </c>
      <c r="C35" s="22">
        <v>2</v>
      </c>
      <c r="D35" s="23">
        <f t="shared" si="1"/>
        <v>2.5000000000000001E-2</v>
      </c>
      <c r="E35" s="22" t="s">
        <v>1441</v>
      </c>
      <c r="F35" s="22"/>
    </row>
    <row r="36" spans="2:6" ht="16.05" customHeight="1" x14ac:dyDescent="0.45">
      <c r="B36" s="22" t="s">
        <v>1119</v>
      </c>
      <c r="C36" s="22">
        <v>2</v>
      </c>
      <c r="D36" s="23">
        <f t="shared" si="1"/>
        <v>2.5000000000000001E-2</v>
      </c>
      <c r="E36" s="22"/>
      <c r="F36" s="22"/>
    </row>
    <row r="37" spans="2:6" ht="16.05" customHeight="1" x14ac:dyDescent="0.45">
      <c r="B37" s="22" t="s">
        <v>768</v>
      </c>
      <c r="C37" s="22">
        <v>2</v>
      </c>
      <c r="D37" s="23">
        <f t="shared" si="1"/>
        <v>2.5000000000000001E-2</v>
      </c>
      <c r="E37" s="22"/>
      <c r="F37" s="22"/>
    </row>
    <row r="38" spans="2:6" ht="16.05" customHeight="1" x14ac:dyDescent="0.45">
      <c r="B38" s="22" t="s">
        <v>1414</v>
      </c>
      <c r="C38" s="22">
        <v>2</v>
      </c>
      <c r="D38" s="23">
        <f t="shared" si="1"/>
        <v>2.5000000000000001E-2</v>
      </c>
      <c r="E38" s="22" t="s">
        <v>1893</v>
      </c>
      <c r="F38" s="22"/>
    </row>
    <row r="39" spans="2:6" ht="16.05" customHeight="1" x14ac:dyDescent="0.45">
      <c r="B39" s="22" t="s">
        <v>850</v>
      </c>
      <c r="C39" s="22">
        <v>2</v>
      </c>
      <c r="D39" s="23">
        <f t="shared" si="1"/>
        <v>2.5000000000000001E-2</v>
      </c>
      <c r="E39" s="22" t="s">
        <v>1336</v>
      </c>
      <c r="F39" s="22"/>
    </row>
    <row r="40" spans="2:6" ht="16.05" customHeight="1" x14ac:dyDescent="0.45">
      <c r="B40" s="22" t="s">
        <v>935</v>
      </c>
      <c r="C40" s="22">
        <v>2</v>
      </c>
      <c r="D40" s="23">
        <f t="shared" si="1"/>
        <v>2.5000000000000001E-2</v>
      </c>
      <c r="E40" s="22" t="s">
        <v>1363</v>
      </c>
      <c r="F40" s="22"/>
    </row>
    <row r="42" spans="2:6" x14ac:dyDescent="0.45">
      <c r="B42" s="28" t="s">
        <v>1894</v>
      </c>
    </row>
  </sheetData>
  <mergeCells count="4">
    <mergeCell ref="B19:G19"/>
    <mergeCell ref="B3:E3"/>
    <mergeCell ref="A1:M1"/>
    <mergeCell ref="G3:J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 &amp; Navigation</vt:lpstr>
      <vt:lpstr>Master Device Database</vt:lpstr>
      <vt:lpstr>First Responder Quick Ref</vt:lpstr>
      <vt:lpstr>Isotope Technical Data</vt:lpstr>
      <vt:lpstr>Orphan Source Risk Register</vt:lpstr>
      <vt:lpstr>Military &amp; Aerospace</vt:lpstr>
      <vt:lpstr>Sector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Carlson</cp:lastModifiedBy>
  <dcterms:created xsi:type="dcterms:W3CDTF">2026-04-06T17:52:22Z</dcterms:created>
  <dcterms:modified xsi:type="dcterms:W3CDTF">2026-04-06T20:19:01Z</dcterms:modified>
</cp:coreProperties>
</file>