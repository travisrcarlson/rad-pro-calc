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f1b33cd0072b634/Documents/Antigravity projects/Rad Pro Calc/"/>
    </mc:Choice>
  </mc:AlternateContent>
  <xr:revisionPtr revIDLastSave="0" documentId="8_{AA835B7E-263F-47C4-8B05-3E31CD9DF651}" xr6:coauthVersionLast="47" xr6:coauthVersionMax="47" xr10:uidLastSave="{00000000-0000-0000-0000-000000000000}"/>
  <bookViews>
    <workbookView minimized="1" xWindow="5483" yWindow="1267" windowWidth="16200" windowHeight="9316" activeTab="8" xr2:uid="{00000000-000D-0000-FFFF-FFFF00000000}"/>
  </bookViews>
  <sheets>
    <sheet name="Claude Log" sheetId="9" r:id="rId1"/>
    <sheet name="Overview &amp; Index" sheetId="1" r:id="rId2"/>
    <sheet name="ICRP Publications" sheetId="2" r:id="rId3"/>
    <sheet name="IAEA Standards" sheetId="3" r:id="rId4"/>
    <sheet name="NCRP &amp; ICRU Reports" sheetId="4" r:id="rId5"/>
    <sheet name="Dose Calculation" sheetId="5" r:id="rId6"/>
    <sheet name="Radiation Physics Data" sheetId="6" r:id="rId7"/>
    <sheet name="Radionuclide Data" sheetId="10" r:id="rId8"/>
    <sheet name="Decay Chains" sheetId="11" r:id="rId9"/>
    <sheet name="Degradation Products" sheetId="7" r:id="rId10"/>
    <sheet name="Computational Tools" sheetId="8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2" i="5" l="1"/>
  <c r="C145" i="5" s="1"/>
  <c r="C141" i="5"/>
  <c r="C144" i="5" s="1"/>
  <c r="C140" i="5"/>
  <c r="C143" i="5" s="1"/>
  <c r="C127" i="5"/>
  <c r="C128" i="5" s="1"/>
  <c r="C117" i="5"/>
  <c r="C118" i="5" s="1"/>
  <c r="C116" i="5"/>
  <c r="C114" i="5"/>
  <c r="C115" i="5" s="1"/>
  <c r="C103" i="5"/>
  <c r="C104" i="5" s="1"/>
  <c r="C105" i="5" s="1"/>
  <c r="C106" i="5" s="1"/>
  <c r="C102" i="5"/>
  <c r="C92" i="5"/>
  <c r="C91" i="5"/>
  <c r="C79" i="5"/>
  <c r="C80" i="5" s="1"/>
  <c r="C81" i="5" s="1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C129" i="5" l="1"/>
  <c r="C130" i="5" s="1"/>
  <c r="C14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Travis Carlson</author>
  </authors>
  <commentList>
    <comment ref="C81" authorId="0" shapeId="0" xr:uid="{60C6ED9F-B1C9-45BA-A27E-311ACD039DC3}">
      <text>
        <r>
          <rPr>
            <b/>
            <sz val="9"/>
            <color indexed="81"/>
            <rFont val="Tahoma"/>
            <charset val="1"/>
          </rPr>
          <t>Travis Carlson:</t>
        </r>
        <r>
          <rPr>
            <sz val="9"/>
            <color indexed="81"/>
            <rFont val="Tahoma"/>
            <charset val="1"/>
          </rPr>
          <t xml:space="preserve">
Conversion: 1 R ≈ 8.73 mSv for soft tissue (ICRP 74)</t>
        </r>
      </text>
    </comment>
    <comment ref="C116" authorId="0" shapeId="0" xr:uid="{40032F16-B9D1-4BBE-A61D-50E369DA2A3D}">
      <text>
        <r>
          <rPr>
            <b/>
            <sz val="9"/>
            <color indexed="81"/>
            <rFont val="Tahoma"/>
            <charset val="1"/>
          </rPr>
          <t>Travis Carlson:</t>
        </r>
        <r>
          <rPr>
            <sz val="9"/>
            <color indexed="81"/>
            <rFont val="Tahoma"/>
            <charset val="1"/>
          </rPr>
          <t xml:space="preserve">
TVL = HVL × ln(10)/ln(2) = HVL × 3.3219</t>
        </r>
      </text>
    </comment>
    <comment ref="C128" authorId="0" shapeId="0" xr:uid="{7637A525-7019-44D2-B2DE-827EE69B226B}">
      <text>
        <r>
          <rPr>
            <b/>
            <sz val="9"/>
            <color indexed="81"/>
            <rFont val="Tahoma"/>
            <charset val="1"/>
          </rPr>
          <t>Travis Carlson:</t>
        </r>
        <r>
          <rPr>
            <sz val="9"/>
            <color indexed="81"/>
            <rFont val="Tahoma"/>
            <charset val="1"/>
          </rPr>
          <t xml:space="preserve">
E(50) = (Intake/ALI) × 20 mSv occupational limit; ICRP 103 definition</t>
        </r>
      </text>
    </comment>
  </commentList>
</comments>
</file>

<file path=xl/sharedStrings.xml><?xml version="1.0" encoding="utf-8"?>
<sst xmlns="http://schemas.openxmlformats.org/spreadsheetml/2006/main" count="2188" uniqueCount="1503">
  <si>
    <t>☢  RADIATION SAFETY &amp; DOSE CALCULATION — CORE DOCUMENT LIBRARY</t>
  </si>
  <si>
    <t>Comprehensive reference library: physics fundamentals, dose calculation methods, degradation products, standards &amp; computational tools</t>
  </si>
  <si>
    <t>Generated: 05 April 2026  |  Sources: ICRP, IAEA, NCRP, ICRU, NRC, NIST, EPA</t>
  </si>
  <si>
    <t>#</t>
  </si>
  <si>
    <t>Sheet</t>
  </si>
  <si>
    <t>Topics Covered</t>
  </si>
  <si>
    <t>Key Subjects</t>
  </si>
  <si>
    <t>No. Documents</t>
  </si>
  <si>
    <t>1</t>
  </si>
  <si>
    <t>Overview &amp; Index</t>
  </si>
  <si>
    <t>Navigation, colour coding, scope</t>
  </si>
  <si>
    <t>—</t>
  </si>
  <si>
    <t>2</t>
  </si>
  <si>
    <t>ICRP Publications</t>
  </si>
  <si>
    <t>Recommendations, dose limits, tissue weighting, RBE</t>
  </si>
  <si>
    <t>150 pubs</t>
  </si>
  <si>
    <t>3</t>
  </si>
  <si>
    <t>IAEA Standards &amp; Reports</t>
  </si>
  <si>
    <t>BSS, safety guides, safety reports, TRS dosimetry codes</t>
  </si>
  <si>
    <t>35 docs</t>
  </si>
  <si>
    <t>4</t>
  </si>
  <si>
    <t>NCRP &amp; ICRU Reports</t>
  </si>
  <si>
    <t>Shielding, measurement, units, dosimetry</t>
  </si>
  <si>
    <t>28 docs</t>
  </si>
  <si>
    <t>5</t>
  </si>
  <si>
    <t>Dose Calculation Methods</t>
  </si>
  <si>
    <t>6</t>
  </si>
  <si>
    <t>Radiation Physics Data</t>
  </si>
  <si>
    <t>Decay data, attenuation, cross sections, NIST databases</t>
  </si>
  <si>
    <t>20 refs</t>
  </si>
  <si>
    <t>7</t>
  </si>
  <si>
    <t>Degradation Products</t>
  </si>
  <si>
    <t>Radiolysis, activation products, decay chains, Bateman eq.</t>
  </si>
  <si>
    <t>22 docs</t>
  </si>
  <si>
    <t>8</t>
  </si>
  <si>
    <t>Computational Tools</t>
  </si>
  <si>
    <t>Monte Carlo codes, deterministic codes, online calculators</t>
  </si>
  <si>
    <t>15 tools</t>
  </si>
  <si>
    <t>COLOUR CODING LEGEND</t>
  </si>
  <si>
    <t>★ KEY / Foundational document — must-read cornerstone reference</t>
  </si>
  <si>
    <t>Dose calculation formula or computational method</t>
  </si>
  <si>
    <t>Radiation degradation product or activation analysis</t>
  </si>
  <si>
    <t>Monte Carlo / computational transport code</t>
  </si>
  <si>
    <t>General reference document</t>
  </si>
  <si>
    <t>ICRP Publications — International Commission on Radiological Protection</t>
  </si>
  <si>
    <t>Cornerstone international recommendations for radiological protection physics. ★ = foundational document.</t>
  </si>
  <si>
    <t>Pub #</t>
  </si>
  <si>
    <t>Publication Title</t>
  </si>
  <si>
    <t>Year</t>
  </si>
  <si>
    <t>Category</t>
  </si>
  <si>
    <t>Key Physics Content</t>
  </si>
  <si>
    <t>Relevance to Dose Calc</t>
  </si>
  <si>
    <t>DOI / URL</t>
  </si>
  <si>
    <t>ICRP 26</t>
  </si>
  <si>
    <t>Recommendations of the ICRP</t>
  </si>
  <si>
    <t>1977</t>
  </si>
  <si>
    <t>★ Foundational</t>
  </si>
  <si>
    <t>Introduced effective dose equivalent; dose limits 50 mSv/y occupational, 5 mSv/y public</t>
  </si>
  <si>
    <t>Basis of all occupational dose limits; first formal weighting factors</t>
  </si>
  <si>
    <t>→ ICRP</t>
  </si>
  <si>
    <t>ICRP 30</t>
  </si>
  <si>
    <t>Limits for Intakes of Radionuclides by Workers (Parts 1–4)</t>
  </si>
  <si>
    <t>1979</t>
  </si>
  <si>
    <t>★ Internal Dosimetry</t>
  </si>
  <si>
    <t>ALI, DAC, committed dose equivalent; biokinetic models; dose conversion factors per radionuclide</t>
  </si>
  <si>
    <t>Internal dose calculation: H₅₀,T = ΣᵢAᵢ·SEE(T←S)·Δᵢ·ϕ(T←S)/mT</t>
  </si>
  <si>
    <t>ICRP 38</t>
  </si>
  <si>
    <t>Radionuclide Transformations — Energy and Intensity of Emissions</t>
  </si>
  <si>
    <t>1983</t>
  </si>
  <si>
    <t>Nuclear Data</t>
  </si>
  <si>
    <t>Decay data: decay energies, branching ratios, emission intensities for 800+ radionuclides</t>
  </si>
  <si>
    <t>Required for all source-term and internal dosimetry calculations</t>
  </si>
  <si>
    <t>ICRP 51</t>
  </si>
  <si>
    <t>Data for Use in Protection Against External Radiation</t>
  </si>
  <si>
    <t>1987</t>
  </si>
  <si>
    <t>External Dosimetry</t>
  </si>
  <si>
    <t>Fluence-to-dose conversion factors; AP, PA, LAT, ROT geometries; photons, electrons, neutrons</t>
  </si>
  <si>
    <t>External dose rate calculations: Ḣ*(10) = Φ·h_Φ; shielding design</t>
  </si>
  <si>
    <t>ICRP 58</t>
  </si>
  <si>
    <t>RBE for Deterministic Effects</t>
  </si>
  <si>
    <t>1989</t>
  </si>
  <si>
    <t>Radiobiology</t>
  </si>
  <si>
    <t>Relative Biological Effectiveness for tissue reactions; RBE-weighted dose</t>
  </si>
  <si>
    <t>Threshold doses for deterministic effects; RBE factors for non-stochastic injuries</t>
  </si>
  <si>
    <t>ICRP 60</t>
  </si>
  <si>
    <t>1990 Recommendations of the ICRP</t>
  </si>
  <si>
    <t>1991</t>
  </si>
  <si>
    <t>Revised wR, wT; effective dose E=ΣT wT·HT; 20 mSv/y occupational; ALARA principle</t>
  </si>
  <si>
    <t>Current European regulatory basis; tissue weighting factors; dose limits</t>
  </si>
  <si>
    <t>ICRP 66</t>
  </si>
  <si>
    <t>Human Respiratory Tract Model for Radiological Protection</t>
  </si>
  <si>
    <t>1994</t>
  </si>
  <si>
    <t>Biokinetics</t>
  </si>
  <si>
    <t>HRTM: deposition fractions, clearance rates, absorption types F/M/S for inhaled particles</t>
  </si>
  <si>
    <t>Inhalation dose calculation; lung dose from airborne radionuclides</t>
  </si>
  <si>
    <t>ICRP 68</t>
  </si>
  <si>
    <t>Dose Coefficients for Intakes of Radionuclides by Workers</t>
  </si>
  <si>
    <t>e(50) values (Sv/Bq) for inhalation and ingestion; all major occupational radionuclides</t>
  </si>
  <si>
    <t>Direct lookup: committed effective dose E₅₀ = e(50)·Intake[Bq]</t>
  </si>
  <si>
    <t>ICRP 72</t>
  </si>
  <si>
    <t>Age-dependent Doses — Part 5: Compilation of Ingestion &amp; Inhalation</t>
  </si>
  <si>
    <t>1996</t>
  </si>
  <si>
    <t>Internal Dosimetry</t>
  </si>
  <si>
    <t>Dose coefficients for public (infants to adults); age-specific biokinetic models</t>
  </si>
  <si>
    <t>Public dose: E = e(g)·Intake; children's doses from environmental contamination</t>
  </si>
  <si>
    <t>ICRP 74</t>
  </si>
  <si>
    <t>Conversion Coefficients for Radiological Protection vs External Radiation</t>
  </si>
  <si>
    <t>h_Φ(E) factors for photons, electrons, neutrons, protons; organ doses per fluence</t>
  </si>
  <si>
    <t>Ambient dose equivalent H*(10); directional dose equivalent H'(0.07)</t>
  </si>
  <si>
    <t>ICRP 89</t>
  </si>
  <si>
    <t>Basic Anatomical &amp; Physiological Data — Reference Values</t>
  </si>
  <si>
    <t>2002</t>
  </si>
  <si>
    <t>Reference Data</t>
  </si>
  <si>
    <t>Reference Man/Woman/Child anatomical parameters; organ masses, volumes, elemental composition</t>
  </si>
  <si>
    <t>Required for dosimetric model geometry and biokinetic parameter derivation</t>
  </si>
  <si>
    <t>ICRP 92</t>
  </si>
  <si>
    <t>Relative Biological Effectiveness (RBE), Quality Factor Q, wR</t>
  </si>
  <si>
    <t>2003</t>
  </si>
  <si>
    <t>Mechanistic basis for wR; LET-dependence; RBE-weighted dose for stochastic effects</t>
  </si>
  <si>
    <t>Neutron and heavy ion dose: HT = DT·wR; updated wR for high-LET particles</t>
  </si>
  <si>
    <t>ICRP 100</t>
  </si>
  <si>
    <t>Human Alimentary Tract Model (HATM)</t>
  </si>
  <si>
    <t>2006</t>
  </si>
  <si>
    <t>GI-tract absorption fractions fA, transit times, regional dosimetry for ingested radionuclides</t>
  </si>
  <si>
    <t>Ingestion dose; fA values replacing old f₁ factors; colon and stomach doses</t>
  </si>
  <si>
    <t>ICRP 103</t>
  </si>
  <si>
    <t>The 2007 Recommendations of the ICRP</t>
  </si>
  <si>
    <t>2007</t>
  </si>
  <si>
    <t>Updated wR, wT; 20 mSv/y; effective dose E=ΣT wT·HT; LNT model; 3 exposure situations</t>
  </si>
  <si>
    <t>Current global standard: defines all dose quantities, limits, constraints, reference levels</t>
  </si>
  <si>
    <t>ICRP 107</t>
  </si>
  <si>
    <t>Nuclear Decay Data for Dosimetric Calculations</t>
  </si>
  <si>
    <t>2008</t>
  </si>
  <si>
    <t>Decay data: energies &amp; intensities for ~1252 radionuclides; α,β,γ,X,Auger electrons</t>
  </si>
  <si>
    <t>Source term for S-value calculations; input for Monte Carlo and analytical dose calculations</t>
  </si>
  <si>
    <t>ICRP 110</t>
  </si>
  <si>
    <t>Adult Reference Computational Phantoms</t>
  </si>
  <si>
    <t>2009</t>
  </si>
  <si>
    <t>Dosimetry</t>
  </si>
  <si>
    <t>Voxelized male/female phantoms (IRCPman, ICRPwoman); organ geometry for MC simulations</t>
  </si>
  <si>
    <t>Reference geometry for external and internal dose coefficient Monte Carlo calculations</t>
  </si>
  <si>
    <t>ICRP 116</t>
  </si>
  <si>
    <t>Conversion Coefficients for Radiological Protection (External)</t>
  </si>
  <si>
    <t>2010</t>
  </si>
  <si>
    <t>Updated h_Φ for photons, electrons, neutrons, protons, α, ions; based on ICRP 110 phantoms</t>
  </si>
  <si>
    <t>Current external conversion coefficients: Ḣ*(10)=Φ·h_Φ(E,θ); replaces ICRP 74</t>
  </si>
  <si>
    <t>ICRP 118</t>
  </si>
  <si>
    <t>Tissue Reactions — Threshold Doses for Deterministic Effects</t>
  </si>
  <si>
    <t>2012</t>
  </si>
  <si>
    <t>Threshold doses for cataracts (0.5 Gy), skin, gonads, bone marrow; dose-rate effects</t>
  </si>
  <si>
    <t>Non-stochastic dose limits; eye lens revised to 20 mSv/y occupational</t>
  </si>
  <si>
    <t>ICRP 119</t>
  </si>
  <si>
    <t>Compendium of Dose Coefficients based on ICRP Pub.60</t>
  </si>
  <si>
    <t>Complete compilation of e(50) values from publications 56–72; conversion factors for 31 elements</t>
  </si>
  <si>
    <t>Reference lookup table for committed dose coefficients; all intake pathways</t>
  </si>
  <si>
    <t>ICRP 130</t>
  </si>
  <si>
    <t>Occupational Intakes of Radionuclides — Part 1</t>
  </si>
  <si>
    <t>2015</t>
  </si>
  <si>
    <t>New biokinetic/dosimetric framework based on ICRP 103; updated inhalation/ingestion models</t>
  </si>
  <si>
    <t>New-generation dose coefficients; HRTM and HATM combined; replaces ICRP 30 &amp; 68</t>
  </si>
  <si>
    <t>ICRP 133</t>
  </si>
  <si>
    <t>Computational Framework for Internal Dose: Specific Absorbed Fractions</t>
  </si>
  <si>
    <t>2016</t>
  </si>
  <si>
    <t>SAF(T←S) values for photons, electrons, α; based on ICRP 110 voxel phantoms; S-value methodology</t>
  </si>
  <si>
    <t>S = ΣΔᵢ·SAF(T←S,Eᵢ)/mT; foundation for all internal dosimetry software</t>
  </si>
  <si>
    <t>ICRP 134</t>
  </si>
  <si>
    <t>Occupational Intakes of Radionuclides — Part 2 (H,C,Cl,Fe,Co,Zn,Sr)</t>
  </si>
  <si>
    <t>Radionuclide-specific biokinetic models and e(50) for key occupational isotopes</t>
  </si>
  <si>
    <t>H-3 tritium, Co-60, Sr-90 dose coefficients; nuclear power plant worker dosimetry</t>
  </si>
  <si>
    <t>ICRP 137</t>
  </si>
  <si>
    <t>Occupational Intakes of Radionuclides — Part 3 (Nb,Mo,Tc,Ru,Sb,Te,I,Cs)</t>
  </si>
  <si>
    <t>2017</t>
  </si>
  <si>
    <t>Biokinetic models and dose coefficients for fission/activation products: I-131, Cs-137, Mo-99</t>
  </si>
  <si>
    <t>Critical for nuclear accident dosimetry; thyroid dose from I-131 inhalation</t>
  </si>
  <si>
    <t>ICRP 144</t>
  </si>
  <si>
    <t>Dose Coefficients for External Exposures to Environmental Sources</t>
  </si>
  <si>
    <t>2020</t>
  </si>
  <si>
    <t>Dose coefficients for soil, air, water contamination scenarios; specific absorbed fractions</t>
  </si>
  <si>
    <t>Environmental dose rate calculations: groundshine, cloudshine, immersion dose</t>
  </si>
  <si>
    <t>ICRP 145</t>
  </si>
  <si>
    <t>Adult Mesh-type Reference Computational Phantoms</t>
  </si>
  <si>
    <t>High-resolution mesh-type body phantoms (MRCP); improved organ segmentation vs voxel phantoms</t>
  </si>
  <si>
    <t>Next-generation dosimetry geometry; higher accuracy for organ doses and SAF calculations</t>
  </si>
  <si>
    <t>ICRP 147</t>
  </si>
  <si>
    <t>Use of Dose Quantities in Radiological Protection</t>
  </si>
  <si>
    <t>2021</t>
  </si>
  <si>
    <t>Clarifies role of protection quantities vs measurable quantities; effective dose as risk indicator</t>
  </si>
  <si>
    <t>Definitive guidance on when to use absorbed vs equivalent vs effective dose</t>
  </si>
  <si>
    <t>IAEA Safety Standards &amp; Technical Reports — International Atomic Energy Agency</t>
  </si>
  <si>
    <t>Binding safety standards (GSR, SSR, GSG, SSG), Safety Reports Series (SRS) and Technical Reports Series (TRS).</t>
  </si>
  <si>
    <t>Doc ID</t>
  </si>
  <si>
    <t>Title</t>
  </si>
  <si>
    <t>Series</t>
  </si>
  <si>
    <t>Key Content</t>
  </si>
  <si>
    <t>Dose Calc Relevance</t>
  </si>
  <si>
    <t>Link</t>
  </si>
  <si>
    <t>GSR Part 3</t>
  </si>
  <si>
    <t>Radiation Protection and Safety of Radiation Sources: International Basic Safety Standards</t>
  </si>
  <si>
    <t>2014</t>
  </si>
  <si>
    <t>★ General Safety Req.</t>
  </si>
  <si>
    <t>Dose limits: 20 mSv/y occupational; 1 mSv/y public; exclusion/exemption levels; source control requirements</t>
  </si>
  <si>
    <t>Regulatory dose limits and constraints; framework for all dose assessments</t>
  </si>
  <si>
    <t>→ IAEA</t>
  </si>
  <si>
    <t>TRS-398</t>
  </si>
  <si>
    <t>Absorbed Dose Determination in External Beam Radiotherapy</t>
  </si>
  <si>
    <t>2000</t>
  </si>
  <si>
    <t>★ Technical Report</t>
  </si>
  <si>
    <t>Code of practice for dosimetry; ionization chamber calibration; kQ correction factors; beam quality specification</t>
  </si>
  <si>
    <t>Reference absorbed dose to water: Dw,Q = MQ·ND,w,Q₀·kQ,Q₀; calibration chain</t>
  </si>
  <si>
    <t>TRS-277</t>
  </si>
  <si>
    <t>Absorbed Dose Determination in Photon and Electron Beams</t>
  </si>
  <si>
    <t>Technical Report</t>
  </si>
  <si>
    <t>Exposure-based dosimetry; C_λ factors; predecessor to TRS-398 for photon beams</t>
  </si>
  <si>
    <t>Historical reference for absorbed dose from exposure measurements</t>
  </si>
  <si>
    <t>TRS-457</t>
  </si>
  <si>
    <t>Dosimetry in Diagnostic Radiology</t>
  </si>
  <si>
    <t>Air kerma and dose-area product; kVp spectra; HVL measurements; patient dose estimation in X-ray</t>
  </si>
  <si>
    <t>Diagnostic dose quantities: Ka,e entrance kerma, Ka,i incident kerma, KAP</t>
  </si>
  <si>
    <t>SRS-47</t>
  </si>
  <si>
    <t>Radiation Protection in the Design of Radiotherapy Facilities</t>
  </si>
  <si>
    <t>Safety Reports</t>
  </si>
  <si>
    <t>Shielding design for linacs and cobalt; workload W, occupancy T, use factor U; primary/secondary barriers</t>
  </si>
  <si>
    <t>Barrier transmission: B = P·d²/(W·U·T); shielding thickness calculation</t>
  </si>
  <si>
    <t>SRS-16</t>
  </si>
  <si>
    <t>Calibration of Radiation Protection Monitoring Instruments</t>
  </si>
  <si>
    <t>Calibration standards for survey meters and dosimeters; reference fields; calibration chain</t>
  </si>
  <si>
    <t>Instrument calibration methodology for dose rate measurements</t>
  </si>
  <si>
    <t>GSG-7</t>
  </si>
  <si>
    <t>Occupational Radiation Protection</t>
  </si>
  <si>
    <t>2018</t>
  </si>
  <si>
    <t>General Safety Guide</t>
  </si>
  <si>
    <t>Workplace monitoring; dose records; classification of areas; personal dosimetry; dose assessment procedures</t>
  </si>
  <si>
    <t>Operational radiation protection; monitoring programme design; HPZ/SPZ classification</t>
  </si>
  <si>
    <t>GSG-2</t>
  </si>
  <si>
    <t>Criteria for Use in Emergency Exposure Situations</t>
  </si>
  <si>
    <t>2011</t>
  </si>
  <si>
    <t>Generic action levels; protective action criteria; dose assessment in nuclear emergencies</t>
  </si>
  <si>
    <t>Emergency dose assessments: operational intervention levels, dose projection methods</t>
  </si>
  <si>
    <t>TECDOC-1162</t>
  </si>
  <si>
    <t>Generic Models for Use in Assessing the Impact of Discharges of Radioactive Substances</t>
  </si>
  <si>
    <t>2001</t>
  </si>
  <si>
    <t>TECDOC</t>
  </si>
  <si>
    <t>Environmental transport models; dilution factors; ingestion dose from food chain; immersion dose</t>
  </si>
  <si>
    <t>Public dose from effluent releases: Eₚ = Σ Qᵢ·DCFᵢ·CFᵢ (discharge×dose coefficient×concentration factor)</t>
  </si>
  <si>
    <t>SRS-44</t>
  </si>
  <si>
    <t>Radiation Protection and Safety in Industrial Radiography</t>
  </si>
  <si>
    <t>Source strength, distance calculations, shielding for industrial γ-sources; controlled/supervised zones</t>
  </si>
  <si>
    <t>Inverse square law dose rates: Ḣ = A·Γ/d²; HDR shielding calculations</t>
  </si>
  <si>
    <t>TRS-424</t>
  </si>
  <si>
    <t>Radiation Biology: A Handbook for Teachers and Students</t>
  </si>
  <si>
    <t>Radiobiology mechanisms; cell survival curves; LQ model; DNA damage; dose-response relationships</t>
  </si>
  <si>
    <t>LQ model: SF = exp(−αD − βD²); basis for deterministic/stochastic risk assessment</t>
  </si>
  <si>
    <t>Handbook of Parameter Values for the Prediction of Radionuclide Transfer</t>
  </si>
  <si>
    <t>TECDOC (TRS-472)</t>
  </si>
  <si>
    <t>Kd values; soil-to-plant transfer factors; CR animal products; fish bioaccumulation factors</t>
  </si>
  <si>
    <t>Environmental dose: food chain transfer parameters for ingestion dose calculations</t>
  </si>
  <si>
    <t>NSS-23-G</t>
  </si>
  <si>
    <t>Radiation Protection and Safety in Medical Uses of Ionizing Radiation</t>
  </si>
  <si>
    <t>Specific Safety Guide</t>
  </si>
  <si>
    <t>Diagnostic reference levels (DRL); dose constraints in interventional radiology; dose audit</t>
  </si>
  <si>
    <t>Patient dose management; CT dose index (CTDI); dose-length product (DLP)</t>
  </si>
  <si>
    <t>TECDOC-1535</t>
  </si>
  <si>
    <t>Cytogenetic Dosimetry: Applications in Preparedness for and Response to Radiation Emergencies</t>
  </si>
  <si>
    <t>Biological dosimetry; dicentric chromosome assay; dose-response calibration curves; triage biodosimetry</t>
  </si>
  <si>
    <t>Retrospective dose estimation from chromosome aberrations; equivalent whole-body dose</t>
  </si>
  <si>
    <t>EPR-BIODOSIMETRY</t>
  </si>
  <si>
    <t>IAEA EPR Biodosimetry 2011 Manual</t>
  </si>
  <si>
    <t>Emergency Prep</t>
  </si>
  <si>
    <t>Field triage methods; lymphocyte depletion kinetics; EPD dose estimation</t>
  </si>
  <si>
    <t>Emergency dose assessment: lymphocyte count method, prodromal symptoms dose estimation</t>
  </si>
  <si>
    <t>SRS-37</t>
  </si>
  <si>
    <t>Methods for Assessing Occupational Radiation Doses Due to Intakes of Radionuclides</t>
  </si>
  <si>
    <t>2004</t>
  </si>
  <si>
    <t>Bioassay monitoring; urinary/fecal excretion models; chest counting; m(T) retention functions</t>
  </si>
  <si>
    <t>Dose from bioassay: H₅₀,T = m_obs/m_unit × (H₅₀,T per unit intake)</t>
  </si>
  <si>
    <t>NCRP Reports &amp; ICRU Reports — US Radiation Protection Standards and Measurement Units</t>
  </si>
  <si>
    <t>NCRP = National Council on Radiation Protection | ICRU = International Commission on Radiation Units &amp; Measurements</t>
  </si>
  <si>
    <t>Report</t>
  </si>
  <si>
    <t>Body</t>
  </si>
  <si>
    <t>Dose Calc Application</t>
  </si>
  <si>
    <t>Access</t>
  </si>
  <si>
    <t>NCRP 49</t>
  </si>
  <si>
    <t>Structural Shielding Design and Evaluation for Medical Use of X-Rays and Gamma Rays</t>
  </si>
  <si>
    <t>1976</t>
  </si>
  <si>
    <t>NCRP</t>
  </si>
  <si>
    <t>Primary/secondary barrier calculation; workload W; B=P·d²/(W·U·T); occupancy factors</t>
  </si>
  <si>
    <t>Classic shielding design method; transmission factors; energy-dependent HVL tables</t>
  </si>
  <si>
    <t>→ Link</t>
  </si>
  <si>
    <t>NCRP 82</t>
  </si>
  <si>
    <t>SI Units in Radiation Protection and Measurements</t>
  </si>
  <si>
    <t>1982</t>
  </si>
  <si>
    <t>Gray, Sievert, Becquerel, Coulomb/kg; conversion factors from old to SI units</t>
  </si>
  <si>
    <t>Unit conversion reference: 1 Gy=100 rad; 1 Sv=100 rem; 1 Bq=2.703×10⁻¹¹ Ci</t>
  </si>
  <si>
    <t>NCRP 116</t>
  </si>
  <si>
    <t>Limitation of Exposure to Ionizing Radiation</t>
  </si>
  <si>
    <t>1993</t>
  </si>
  <si>
    <t>★ NCRP</t>
  </si>
  <si>
    <t>US dose limits: 50 mSv/y occupational; 1 mSv/y public; ALARA; lens 150 mSv/y</t>
  </si>
  <si>
    <t>US regulatory dose limit framework; basis for 10 CFR 20 (NRC) and 10 CFR 835 (DOE)</t>
  </si>
  <si>
    <t>NCRP 147</t>
  </si>
  <si>
    <t>Structural Shielding Design for Medical X-Ray Imaging Facilities</t>
  </si>
  <si>
    <t>Updated shielding method; transmission factor B(TVL₁,TVLₑ); kVp-dependent data; new design goals</t>
  </si>
  <si>
    <t>Modern diagnostic shielding: P=0.1 mGy/wk controlled; T occupancy factors; scatter fractions</t>
  </si>
  <si>
    <t>NCRP 151</t>
  </si>
  <si>
    <t>Structural Shielding Design and Evaluation for MV X-Ray and Gamma-Ray Radiotherapy Facilities</t>
  </si>
  <si>
    <t>2005</t>
  </si>
  <si>
    <t>MV photon and neutron shielding; TVL₁/TVLₑ; primary/secondary barriers; maze design</t>
  </si>
  <si>
    <t>Linac shielding: barrier thickness x = TVL₁+(log₁₀B−1)TVLₑ; neutron capture gamma</t>
  </si>
  <si>
    <t>NCRP 160</t>
  </si>
  <si>
    <t>Ionizing Radiation Exposure of the Population of the United States</t>
  </si>
  <si>
    <t>US population dose inventory: background 3.1 mSv/y; medical 3.0 mSv/y; radon 2.3 mSv/y</t>
  </si>
  <si>
    <t>Dose inventory benchmarking; natural background component breakdown</t>
  </si>
  <si>
    <t>NCRP 174</t>
  </si>
  <si>
    <t>Preconception and Prenatal Radiation Exposure: Health Effects and Protective Guidance</t>
  </si>
  <si>
    <t>2013</t>
  </si>
  <si>
    <t>Embryo/fetal dose limits; organogenesis dose thresholds; pregnancy declaration guidance</t>
  </si>
  <si>
    <t>Fetal dose limit 0.5 mGy/month after declaration; embryonic risk dose-response</t>
  </si>
  <si>
    <t>ICRU 33</t>
  </si>
  <si>
    <t>Radiation Quantities and Units</t>
  </si>
  <si>
    <t>1980</t>
  </si>
  <si>
    <t>★ ICRU</t>
  </si>
  <si>
    <t>Formal definitions: absorbed dose D (Gy), kerma K, fluence Φ, exposure X; historical SI conversion</t>
  </si>
  <si>
    <t>Foundational quantity definitions underpinning all radiation dosimetry calculations</t>
  </si>
  <si>
    <t>ICRU 51</t>
  </si>
  <si>
    <t>Quantities and Units in Radiation Protection Dosimetry</t>
  </si>
  <si>
    <t>ICRU</t>
  </si>
  <si>
    <t>Operational protection quantities: H*(10), Hp(10), H'(0.07,Ω); conversion from fluence</t>
  </si>
  <si>
    <t>Defines measurable quantities for area and personal dosimetry; links to physical quantities</t>
  </si>
  <si>
    <t>ICRU 57</t>
  </si>
  <si>
    <t>Conversion Coefficients for Use in Radiological Protection against External Radiation</t>
  </si>
  <si>
    <t>1998</t>
  </si>
  <si>
    <t>h_Φ,H*(10) vs photon/neutron energy; AP, PA, LAT, ROT irradiation geometries</t>
  </si>
  <si>
    <t>Area monitor calibration; h_Φ(E) lookup for Ḣ*(10)=Φ·h_Φ; phantom geometry factors</t>
  </si>
  <si>
    <t>ICRU 85a</t>
  </si>
  <si>
    <t>Fundamental Quantities and Units for Ionizing Radiation (Revised)</t>
  </si>
  <si>
    <t>Revised formal definitions: absorbed dose, LET, stopping power, stochastic quantities</t>
  </si>
  <si>
    <t>Current reference for all dosimetric quantity definitions; LET-D and LET-T; track structure</t>
  </si>
  <si>
    <t>ICRU 90</t>
  </si>
  <si>
    <t>Key Data for Ionizing-Radiation Dosimetry: Measurement Standards and Applications</t>
  </si>
  <si>
    <t>Updated w-air=33.97 eV; stopping power data for electrons/protons; I-values for water, tissue</t>
  </si>
  <si>
    <t>Ionization chamber dose: D = M·ND,w·kQ; accurate w-air critical for all absorbed dose</t>
  </si>
  <si>
    <t>ICRU 91</t>
  </si>
  <si>
    <t>Prescribing, Recording, and Reporting of Stereotactic Treatments with Small Photon Beams</t>
  </si>
  <si>
    <t>Small field dosimetry; output correction factors k_f_clin,f_msr,Q_clin,Q_msr; reference conditions</t>
  </si>
  <si>
    <t>Small field dose: Df_clin = Df_msr × (Mf_clin/Mf_msr) × k_f_clin,f_msr</t>
  </si>
  <si>
    <t>ICRU 44</t>
  </si>
  <si>
    <t>Tissue Substitutes in Radiation Dosimetry and Measurement</t>
  </si>
  <si>
    <t>Elemental composition of tissues and phantoms; mass density; effective atomic number</t>
  </si>
  <si>
    <t>Tissue-equivalent material selection for phantom dosimetry; stopping power ratios</t>
  </si>
  <si>
    <t>NCRP 128</t>
  </si>
  <si>
    <t>Radionuclide Exposure of the Embryo/Fetus</t>
  </si>
  <si>
    <t>Placental transfer of radionuclides; fetal dose coefficients; committed dose in utero</t>
  </si>
  <si>
    <t>Embryo/fetal dose from maternal intake: Hfetus = Σ CF(T,nucl)·Intake</t>
  </si>
  <si>
    <t>Radiation Dose Calculation Methods — Formulae, Quantities &amp; Calculation Pathways</t>
  </si>
  <si>
    <t>Green = formula-based; Yellow = key quantity definition. All quantities from ICRP 103 &amp; ICRU 85a.</t>
  </si>
  <si>
    <t>1. FUNDAMENTAL DOSE QUANTITIES</t>
  </si>
  <si>
    <t>Quantity</t>
  </si>
  <si>
    <t>Symbol</t>
  </si>
  <si>
    <t>Unit (SI)</t>
  </si>
  <si>
    <t>Formula</t>
  </si>
  <si>
    <t>Description</t>
  </si>
  <si>
    <t>ICRP/ICRU Reference</t>
  </si>
  <si>
    <t>Notes</t>
  </si>
  <si>
    <t>Absorbed Dose</t>
  </si>
  <si>
    <t>D</t>
  </si>
  <si>
    <t>Gray (Gy = J/kg)</t>
  </si>
  <si>
    <t>D = dE/dm</t>
  </si>
  <si>
    <t>Mean energy imparted by ionizing radiation per unit mass of material</t>
  </si>
  <si>
    <t>ICRU 85a; ICRP 103 §B.1</t>
  </si>
  <si>
    <t>Measurable physical quantity. Foundation of all dose calculations. 1 Gy = 1 J/kg</t>
  </si>
  <si>
    <t>Kerma</t>
  </si>
  <si>
    <t>K</t>
  </si>
  <si>
    <t>Gray (Gy)</t>
  </si>
  <si>
    <t>K = dEtr/dm</t>
  </si>
  <si>
    <t>Kinetic energy released per unit mass in uncharged particle interactions</t>
  </si>
  <si>
    <t>ICRU 85a §3; ICRP 103</t>
  </si>
  <si>
    <t>Approximates absorbed dose in CPE conditions. K_col ≈ D for photons in tissue</t>
  </si>
  <si>
    <t>Equivalent Dose</t>
  </si>
  <si>
    <t>HT</t>
  </si>
  <si>
    <t>Sievert (Sv)</t>
  </si>
  <si>
    <t>HT = ΣR wR·DT,R</t>
  </si>
  <si>
    <t>Absorbed dose weighted by radiation quality factor to reflect biological effectiveness</t>
  </si>
  <si>
    <t>★ ICRP 103 §B.2; ICRU 51</t>
  </si>
  <si>
    <t>wR: γ,X,β=1; p=2; n=2.5–20(E); α=20. For protection only — not measurable</t>
  </si>
  <si>
    <t>Effective Dose</t>
  </si>
  <si>
    <t>E</t>
  </si>
  <si>
    <t>E = ΣT wT·HT</t>
  </si>
  <si>
    <t>Sum of weighted equivalent doses to all organs/tissues; indicator of stochastic risk</t>
  </si>
  <si>
    <t>★ ICRP 103 §B.3; ICRP 147</t>
  </si>
  <si>
    <t>wT: gonads=0.08; bone marrow/lung/colon/stomach/breast=0.12; remainder=0.12</t>
  </si>
  <si>
    <t>Committed Equiv. Dose</t>
  </si>
  <si>
    <t>H(T,τ)</t>
  </si>
  <si>
    <t>H(T,50) = ∫₀⁵⁰ ḢT(t)dt</t>
  </si>
  <si>
    <t>Time-integrated equivalent dose to organ T following radionuclide intake; τ=50 y adults</t>
  </si>
  <si>
    <t>ICRP 103 §B.5; ICRP 30 Part 1</t>
  </si>
  <si>
    <t>Assigned to year of intake. τ=70 y for children. Internal exposure metric</t>
  </si>
  <si>
    <t>Committed Eff. Dose</t>
  </si>
  <si>
    <t>E(τ)</t>
  </si>
  <si>
    <t>E(50) = ΣT wT·H(T,50)</t>
  </si>
  <si>
    <t>Committed effective dose = sum of wT-weighted committed equivalent doses over 50 years</t>
  </si>
  <si>
    <t>★ ICRP 103; ICRP 130</t>
  </si>
  <si>
    <t>Practical internal dosimetry quantity for workers: E(50) = e(50)·I where I is intake</t>
  </si>
  <si>
    <t>Dose Equivalent</t>
  </si>
  <si>
    <t>H</t>
  </si>
  <si>
    <t>H = D·Q</t>
  </si>
  <si>
    <t>Absorbed dose multiplied by quality factor Q; older ICRU operational quantity</t>
  </si>
  <si>
    <t>ICRU 51; NCRP 116</t>
  </si>
  <si>
    <t>Q depends on unrestricted LET in water. H*(10), Hp(10) are operational quantities</t>
  </si>
  <si>
    <t>Ambient Dose Equiv.</t>
  </si>
  <si>
    <t>H*(10)</t>
  </si>
  <si>
    <t>H*(10) = Φ·h_Φ(E)</t>
  </si>
  <si>
    <t>Dose equivalent in ICRU sphere at 10 mm depth; used for area monitoring</t>
  </si>
  <si>
    <t>ICRU 57; ICRP 116</t>
  </si>
  <si>
    <t>Measurable operational quantity. h_Φ(E) from ICRU 57 / ICRP 116 tables</t>
  </si>
  <si>
    <t>Dose Rate</t>
  </si>
  <si>
    <t>Ḣ</t>
  </si>
  <si>
    <t>Sv/h or mSv/y</t>
  </si>
  <si>
    <t>Ḣ = dH/dt</t>
  </si>
  <si>
    <t>Rate of dose equivalent accumulation per unit time</t>
  </si>
  <si>
    <t>ICRU 33; ICRP 103</t>
  </si>
  <si>
    <t>Point source: Ḣ = A·Γ/d². Gamma constant Γ tabulated per radionuclide</t>
  </si>
  <si>
    <t>2. RADIATION WEIGHTING FACTORS (wR) — ICRP 103, Table A.1</t>
  </si>
  <si>
    <t>Radiation Type</t>
  </si>
  <si>
    <t>Energy Range</t>
  </si>
  <si>
    <t>wR Value</t>
  </si>
  <si>
    <t>3. TISSUE WEIGHTING FACTORS (wT) — ICRP 103, Table A.2  [ΣwT = 1.00]</t>
  </si>
  <si>
    <t>Tissue/Organ</t>
  </si>
  <si>
    <t>wT (ICRP 103)</t>
  </si>
  <si>
    <t>wT (ICRP 60)</t>
  </si>
  <si>
    <t>No. Tissues</t>
  </si>
  <si>
    <t>Comment</t>
  </si>
  <si>
    <t>4. DOSE LIMITS — ICRP 103 (2007) &amp; GSR PART 3 (IAEA 2014)</t>
  </si>
  <si>
    <t>Application</t>
  </si>
  <si>
    <t>Limit Value</t>
  </si>
  <si>
    <t>Averaging Period</t>
  </si>
  <si>
    <t>Regulatory Basis</t>
  </si>
  <si>
    <t>Radiation Physics Data — Nuclear Data, Attenuation Coefficients, Cross-Sections &amp; Online Databases</t>
  </si>
  <si>
    <t>Essential numerical datasets and tools for shielding, dosimetry, and transport calculations.</t>
  </si>
  <si>
    <t>Source / Database</t>
  </si>
  <si>
    <t>Organization</t>
  </si>
  <si>
    <t>Content / Data Type</t>
  </si>
  <si>
    <t>Key Formula / Parameter</t>
  </si>
  <si>
    <t>URL / Access</t>
  </si>
  <si>
    <t>NIST XCOM</t>
  </si>
  <si>
    <t>NIST (USA)</t>
  </si>
  <si>
    <t>Photon cross sections (coherent scatter, Compton, PE, pair production, total μ/ρ) for Z=1–100</t>
  </si>
  <si>
    <t>1 keV – 100 GeV</t>
  </si>
  <si>
    <t>μ/ρ (cm²/g); I = I₀·exp(−μ/ρ·ρx)</t>
  </si>
  <si>
    <t>Gamma shielding; attenuation calculation; buildup factor input</t>
  </si>
  <si>
    <t>→ Access</t>
  </si>
  <si>
    <t>NIST ESTAR/PSTAR/ASTAR</t>
  </si>
  <si>
    <t>Stopping powers and ranges for electrons (ESTAR), protons (PSTAR), alpha (ASTAR) in materials</t>
  </si>
  <si>
    <t>0.001–10,000 MeV</t>
  </si>
  <si>
    <t>S/ρ = −(1/ρ)dE/dx [MeV·cm²/g]; CSDA range</t>
  </si>
  <si>
    <t>Beta/electron/proton dose; range calculations; EBT films</t>
  </si>
  <si>
    <t>NIST X-Ray Attenuation Coeff.</t>
  </si>
  <si>
    <t>μ/ρ and μen/ρ for elements Z=1–92 and 48 dosimetric compounds; tabulated vs photon energy</t>
  </si>
  <si>
    <t>1 keV – 20 MeV</t>
  </si>
  <si>
    <t>Kerma: K = Φ·E·(μen/ρ)·ρ/ρair×Wair/e</t>
  </si>
  <si>
    <t>Tissue kerma and dose calculations; Γ constant derivation</t>
  </si>
  <si>
    <t>NNDC NuDat 3.0</t>
  </si>
  <si>
    <t>NNDC/BNL (USA)</t>
  </si>
  <si>
    <t>Nuclide properties: half-lives, decay modes, Q-values, γ-ray energies &amp; intensities, parent/daughter</t>
  </si>
  <si>
    <t>All radionuclides</t>
  </si>
  <si>
    <t>λ = ln2/T½; A = A₀·exp(−λt)</t>
  </si>
  <si>
    <t>Decay chain analysis; source activity calculation; shielding design</t>
  </si>
  <si>
    <t>NNDC Chart of Nuclides</t>
  </si>
  <si>
    <t>Interactive nuclide chart; decay modes; stable isotopes; neutron cross sections</t>
  </si>
  <si>
    <t>Full chart of nuclides</t>
  </si>
  <si>
    <t>Z, N, A; binding energy per nucleon</t>
  </si>
  <si>
    <t>Quick reference for all nuclide properties; activation product ID</t>
  </si>
  <si>
    <t>ICRP 107 Decay Data</t>
  </si>
  <si>
    <t>ICRP</t>
  </si>
  <si>
    <t>Decay data for 1252 radionuclides; α/β/γ/X/Auger energies; branching fractions; yields per decay</t>
  </si>
  <si>
    <t>All dosimetric radionuclides</t>
  </si>
  <si>
    <t>Δᵢ = fᵢ·Eᵢ·kᵢ (mean energy per decay type i)</t>
  </si>
  <si>
    <t>S-value and internal dosimetry; source term for MC codes</t>
  </si>
  <si>
    <t>ENDF/B-VIII.0</t>
  </si>
  <si>
    <t>CSEWG/BNL (USA)</t>
  </si>
  <si>
    <t>Evaluated nuclear data: neutron cross sections, fission yields, decay data, photon interaction data</t>
  </si>
  <si>
    <t>0 to 20 MeV neutrons</t>
  </si>
  <si>
    <t>σ(E) in barns; reaction rate R = n·v·σ</t>
  </si>
  <si>
    <t>Neutron transport; activation calculations; reactor physics</t>
  </si>
  <si>
    <t>JEFF 3.3</t>
  </si>
  <si>
    <t>NEA/OECD (Europe)</t>
  </si>
  <si>
    <t>European nuclear data library: decay data, fission yields, activation cross sections</t>
  </si>
  <si>
    <t>Thermal to 20 MeV</t>
  </si>
  <si>
    <t>Activation: A = N·σ·Φ·(1−exp(−λt))</t>
  </si>
  <si>
    <t>European reactor calculations; activation product inventories</t>
  </si>
  <si>
    <t>JAERI/JENDL 5</t>
  </si>
  <si>
    <t>JAEA (Japan)</t>
  </si>
  <si>
    <t>Japanese nuclear data; thermal and fast neutron cross sections; photon data</t>
  </si>
  <si>
    <t>Full energy range</t>
  </si>
  <si>
    <t>Microscopic/macroscopic cross sections</t>
  </si>
  <si>
    <t>Asian nuclear facility design; activation analysis</t>
  </si>
  <si>
    <t>NIST Radiation Dosimetry Research</t>
  </si>
  <si>
    <t>Dosimetric data: w_air values, g-values (water radiolysis), stopping powers, LET tables</t>
  </si>
  <si>
    <t>Broad range</t>
  </si>
  <si>
    <t>w_air=33.97 eV (ICRU 90); g(H₂O₂)=0.075 μmol/J</t>
  </si>
  <si>
    <t>Ionization chamber calibration; water radiolysis G-values</t>
  </si>
  <si>
    <t>RADIOLOGICA / ICRP OIR Tool</t>
  </si>
  <si>
    <t>ICRP Online</t>
  </si>
  <si>
    <t>Interactive internal dosimetry: dose coefficients from ICRP Pub.130–137; biokinetic model outputs</t>
  </si>
  <si>
    <t>Occupational workers</t>
  </si>
  <si>
    <t>e(50) [Sv/Bq] for inhalation, ingestion, injection by radionuclide</t>
  </si>
  <si>
    <t>Worker dose from bioassay; inhalation dose calculation</t>
  </si>
  <si>
    <t>EPA Federal Guidance Report 12</t>
  </si>
  <si>
    <t>US EPA</t>
  </si>
  <si>
    <t>Dose coefficients for external exposure to radionuclides in air, water, soil; photon/electron/β</t>
  </si>
  <si>
    <t>All environmental exposures</t>
  </si>
  <si>
    <t>E = Σ ρ_i·DCF_i (activity concentration × dose coefficient)</t>
  </si>
  <si>
    <t>Public dose from environmental contamination</t>
  </si>
  <si>
    <t>EPA Federal Guidance Report 11</t>
  </si>
  <si>
    <t>Dose coefficients for inhalation and ingestion; committed effective dose equivalents per Bq intake</t>
  </si>
  <si>
    <t>All occupational/public radionuclides</t>
  </si>
  <si>
    <t>CEDE = e_inh/ing [Sv/Bq] × intake [Bq]</t>
  </si>
  <si>
    <t>US regulatory internal dosimetry for workers and public</t>
  </si>
  <si>
    <t>DOE DOECode / DCAL</t>
  </si>
  <si>
    <t>US DOE</t>
  </si>
  <si>
    <t>Internal dosimetry: ICRP-consistent dose coefficients; organ doses; age-dependent calculations</t>
  </si>
  <si>
    <t>ICRP model radionuclides</t>
  </si>
  <si>
    <t>Committed organ dose per unit intake for all major radionuclides</t>
  </si>
  <si>
    <t>DOE facility workers; 10 CFR 835 compliance</t>
  </si>
  <si>
    <t>JANIS Nuclear Data Browser</t>
  </si>
  <si>
    <t>NEA/OECD</t>
  </si>
  <si>
    <t>Interactive data browser for nuclear reaction cross sections across all major evaluated libraries</t>
  </si>
  <si>
    <t>1 meV to 150 MeV</t>
  </si>
  <si>
    <t>Reaction cross section σ(n,γ), σ(n,f), σ(n,p)</t>
  </si>
  <si>
    <t>Activation product calculations; neutron capture</t>
  </si>
  <si>
    <t>Brookhaven Sigma</t>
  </si>
  <si>
    <t>BNL/NNDC</t>
  </si>
  <si>
    <t>Online access to evaluated nuclear reaction cross section data from all major libraries</t>
  </si>
  <si>
    <t>Wide range</t>
  </si>
  <si>
    <t>Same as ENDF libraries; web-accessible</t>
  </si>
  <si>
    <t>Quick cross-section lookup for activation analysis</t>
  </si>
  <si>
    <t>NIST STAR (Charged Particle)</t>
  </si>
  <si>
    <t>Stopping powers for ions: Bethe-Bloch formula data; mass stopping powers; CSDA ranges</t>
  </si>
  <si>
    <t>Bethe-Bloch: −dE/dx=4πe⁴z²N/m_e v² × [ln(2m_e v²/I)−ln(1−β²)−β²]</t>
  </si>
  <si>
    <t>Heavy ion therapy dosimetry; proton range calculation; NORM</t>
  </si>
  <si>
    <t>Radiation Degradation Products — Radiolysis, Activation, Decay Chains &amp; Secondary Radiation</t>
  </si>
  <si>
    <t>Covers: water radiolysis products | neutron activation products | radioactive decay chains | secondary particle generation</t>
  </si>
  <si>
    <t>A. CORE DECAY &amp; ACTIVATION EQUATIONS</t>
  </si>
  <si>
    <t>Equation Name</t>
  </si>
  <si>
    <t>Variables</t>
  </si>
  <si>
    <t>Source</t>
  </si>
  <si>
    <t>Radioactive Decay Law</t>
  </si>
  <si>
    <t>A(t) = A₀ · exp(−λt)
N(t) = N₀ · exp(−λt)</t>
  </si>
  <si>
    <t>A=activity (Bq); λ=ln2/T½; t=time; N=atom count</t>
  </si>
  <si>
    <t>Rutherford (1905); ICRP 107</t>
  </si>
  <si>
    <t>Activity of any single radionuclide vs time; secular equilibrium check</t>
  </si>
  <si>
    <t>Bateman Equation (parent→daughter)</t>
  </si>
  <si>
    <t>A₂(t) = A₁(0)·[λ₂/(λ₂−λ₁)]·(exp(−λ₁t) − exp(−λ₂t))</t>
  </si>
  <si>
    <t>λ₁=parent decay const; λ₂=daughter decay const; A₁(0)=initial parent activity</t>
  </si>
  <si>
    <t>Bateman (1910); ICRP 107; NNDC</t>
  </si>
  <si>
    <t>Two-member decay chains: Mo-99/Tc-99m, Ra-226/Rn-222, U-238 chain</t>
  </si>
  <si>
    <t>Secular Equilibrium</t>
  </si>
  <si>
    <t>A_daughter ≈ A_parent  (when T½_parent &gt;&gt; T½_daughter)</t>
  </si>
  <si>
    <t>Condition: λ_parent &lt;&lt; λ_daughter; reached after ~7 × T½_daughter</t>
  </si>
  <si>
    <t>ICRP 38; NNDC NuDat</t>
  </si>
  <si>
    <t>Long-lived parent dominates: U-238→Ra-226→Rn-222; Cs-137→Ba-137m</t>
  </si>
  <si>
    <t>Transient Equilibrium</t>
  </si>
  <si>
    <t>A₂/A₁ = λ₂/(λ₂−λ₁) = const (after equilibrium)</t>
  </si>
  <si>
    <t>Condition: T½_parent &gt; T½_daughter by factor 10–100</t>
  </si>
  <si>
    <t>ICRP 38; Bateman 1910</t>
  </si>
  <si>
    <t>Mo-99→Tc-99m (T½: 66h→6h); generator systems</t>
  </si>
  <si>
    <t>Neutron Activation</t>
  </si>
  <si>
    <t>A(t) = N · σ · Φ · (1 − exp(−λt))</t>
  </si>
  <si>
    <t>N=target atoms; σ=cross section (cm²); Φ=neutron flux (n/cm²/s); λ=product decay const</t>
  </si>
  <si>
    <t>IAEA TRS-424; ENDF; JEFF</t>
  </si>
  <si>
    <t>Reactor activation products: Co-60, Fe-55, Ni-63, H-3, C-14</t>
  </si>
  <si>
    <t>Saturation Activity</t>
  </si>
  <si>
    <t>A_sat = N · σ · Φ</t>
  </si>
  <si>
    <t>Maximum activity at long irradiation (t &gt;&gt; T½); t→∞ limit of activation equation</t>
  </si>
  <si>
    <t>ENDF; JEFF; IAEA</t>
  </si>
  <si>
    <t>Maximum Co-60 or Ni-63 production in structural steel after reactor irradiation</t>
  </si>
  <si>
    <t>Effective Half-Life (internal)</t>
  </si>
  <si>
    <t>T_eff = (T_phys · T_biol) / (T_phys + T_biol)
λ_eff = λ_phys + λ_biol</t>
  </si>
  <si>
    <t>T_phys=physical half-life; T_biol=biological half-life for excretion from organ</t>
  </si>
  <si>
    <t>ICRP 30; ICRP 68</t>
  </si>
  <si>
    <t>I-131 in thyroid: T_phys=8d, T_biol=120d → T_eff≈7.3d; H-3 in body water</t>
  </si>
  <si>
    <t>S-Value (internal dosimetry)</t>
  </si>
  <si>
    <t>S(T←S) = Σᵢ Δᵢ · SAF(T←S, Eᵢ) / mT</t>
  </si>
  <si>
    <t>Δᵢ=mean energy emitted per decay; SAF=specific absorbed fraction; mT=target mass</t>
  </si>
  <si>
    <t>ICRP 133; MIRD Pamphlet 11</t>
  </si>
  <si>
    <t>Internal absorbed dose to organ T from source organ S per unit activity</t>
  </si>
  <si>
    <t>Committed Dose from Intake</t>
  </si>
  <si>
    <t>E(50) = e(50) · Intake [Bq]
e(50) in Sv/Bq from ICRP 68/130</t>
  </si>
  <si>
    <t>e(50) = dose coefficient [Sv/Bq]; Intake = activity taken in</t>
  </si>
  <si>
    <t>ICRP 68; ICRP 130; EPA FGR 11</t>
  </si>
  <si>
    <t>Worker dose from I-131 inhalation, Cs-137 ingestion, Pu-239 inhalation</t>
  </si>
  <si>
    <t>Water Radiolysis G-value</t>
  </si>
  <si>
    <t>G(product) = moles product / 100 eV absorbed
G(•OH)=0.28; G(e⁻aq)=0.27; G(H₂O₂)=0.075</t>
  </si>
  <si>
    <t>G = chemical yield; units μmol/J; varies with LET (low LET: γ; high LET: α)</t>
  </si>
  <si>
    <t>Spinks &amp; Woods 1990; NIST; Allen 1961</t>
  </si>
  <si>
    <t>Reactor coolant chemistry; H₂O₂ corrosion; steel/polymer radiation damage</t>
  </si>
  <si>
    <t>B. CORE DOCUMENTS — RADIOLYSIS, ACTIVATION PRODUCTS &amp; DECAY CHAINS</t>
  </si>
  <si>
    <t>Document</t>
  </si>
  <si>
    <t>Author/Publisher</t>
  </si>
  <si>
    <t>Type</t>
  </si>
  <si>
    <t>Content Summary</t>
  </si>
  <si>
    <t>Products / Species Covered</t>
  </si>
  <si>
    <t>URL</t>
  </si>
  <si>
    <t>Spinks &amp; Woods: An Introduction to Radiation Chemistry</t>
  </si>
  <si>
    <t>Wiley (3rd ed.)</t>
  </si>
  <si>
    <t>1990</t>
  </si>
  <si>
    <t>★ Textbook</t>
  </si>
  <si>
    <t>Definitive radiation chemistry textbook; G-values; LET effects; radical reactions; polymer degradation</t>
  </si>
  <si>
    <t>•OH, e⁻aq, •H, H₂, H₂O₂, HO₂•; organic radicals; O₂ reactions</t>
  </si>
  <si>
    <t>Allen: The Radiation Chemistry of Water and Aqueous Solutions</t>
  </si>
  <si>
    <t>Van Nostrand</t>
  </si>
  <si>
    <t>1961</t>
  </si>
  <si>
    <t>Textbook</t>
  </si>
  <si>
    <t>Classical treatment of water radiolysis; primary yields; ionic products; temperature effects</t>
  </si>
  <si>
    <t>H₂O⁺, OH⁻, H₃O⁺; primary radiolytic products; pH effects</t>
  </si>
  <si>
    <t>ICRP 38: Radionuclide Transformations</t>
  </si>
  <si>
    <t>★ Data Reference</t>
  </si>
  <si>
    <t>Complete decay data for dosimetric radionuclides; daughter products; branching fractions</t>
  </si>
  <si>
    <t>All α,β,γ,X emitters; decay chain products; secular/transient equilibrium data</t>
  </si>
  <si>
    <t>ICRP 107: Nuclear Decay Data for Dosimetric Calculations</t>
  </si>
  <si>
    <t>Updated decay data for 1252 radionuclides; Auger electrons; IC electrons; complete decay tables</t>
  </si>
  <si>
    <t>All dosimetrically significant radionuclides including activation products</t>
  </si>
  <si>
    <t>NNDC Chart of Nuclides / NuDat 3.0</t>
  </si>
  <si>
    <t>Brookhaven National Lab</t>
  </si>
  <si>
    <t>2023</t>
  </si>
  <si>
    <t>★ Database</t>
  </si>
  <si>
    <t>Online nuclide decay data: half-lives, decay modes, γ-ray energies, parent-daughter chains</t>
  </si>
  <si>
    <t>All 3300+ known nuclides; fission products; activation products; natural decay chains</t>
  </si>
  <si>
    <t>ORIGEN-S / SCALE (ORNL)</t>
  </si>
  <si>
    <t>Oak Ridge National Lab</t>
  </si>
  <si>
    <t>★ Code/Data</t>
  </si>
  <si>
    <t>Activation/depletion code system; full fission product chains; activation inventories; source term</t>
  </si>
  <si>
    <t>Fission products: Xe-133, I-131, Cs-137, Sr-90; structural activation: Co-60, Fe-55</t>
  </si>
  <si>
    <t>FISPACT-II (UKAEA)</t>
  </si>
  <si>
    <t>UKAEA/Culham</t>
  </si>
  <si>
    <t>Code/Data</t>
  </si>
  <si>
    <t>Inventory code for activation and transmutation; uses TENDL/JEFF cross sections</t>
  </si>
  <si>
    <t>Activation of metals: Al, Fe, Ni, Cu, Mo; medical isotope production</t>
  </si>
  <si>
    <t>IAEA TECDOC-1234: Clearance of Materials Resulting from Use of Radionuclides</t>
  </si>
  <si>
    <t>IAEA</t>
  </si>
  <si>
    <t>Technical Doc</t>
  </si>
  <si>
    <t>Clearance levels for radionuclides in solid materials; activation product inventories</t>
  </si>
  <si>
    <t>Co-60, Cs-137, H-3, C-14, Ni-63 in decommissioning waste streams</t>
  </si>
  <si>
    <t>Ewing: The Chemistry of Nuclear Fuel Waste Disposal</t>
  </si>
  <si>
    <t>MRS</t>
  </si>
  <si>
    <t>Review</t>
  </si>
  <si>
    <t>Long-lived fission product chemistry; alpha-recoil damage; spent fuel radiolysis</t>
  </si>
  <si>
    <t>Long-lived fission products: Tc-99, I-129, Cs-135; actinides; radiolytic H₂</t>
  </si>
  <si>
    <t>Wishart &amp; Spinks: Radiation Chemistry Fundamentals</t>
  </si>
  <si>
    <t>Springer</t>
  </si>
  <si>
    <t>Modern radiation chemistry; track structure; early kinetics; pulse radiolysis techniques</t>
  </si>
  <si>
    <t>Solvated electrons; radical intermediates; molecular product yields</t>
  </si>
  <si>
    <t>Christodouleas et al.: Short-Term and Long-Term Health Risks of Nuclear-Power-Plant Accidents</t>
  </si>
  <si>
    <t>NEJM</t>
  </si>
  <si>
    <t>Medical Review</t>
  </si>
  <si>
    <t>Fission products and health effects; I-131, Cs-137, Sr-90 exposure pathways; thyroid dose</t>
  </si>
  <si>
    <t>I-131 (thyroid), Cs-137 (whole body), Sr-90 (bone), Ru-103; external vs internal</t>
  </si>
  <si>
    <t>IAEA Safety Reports SRS-44: Activation Product and Fission Product Inventory in Nuclear Plants</t>
  </si>
  <si>
    <t>Safety Report</t>
  </si>
  <si>
    <t>Activation of structural materials; coolant activity; source terms for radiation protection</t>
  </si>
  <si>
    <t>Co-58/60 in coolant; Cr-51; Fe-55; Mn-54; Zn-65; Ni-63 in structural steel</t>
  </si>
  <si>
    <t>EPA Report: Technical Bases for Calculating Fission and Activation Product Source Terms</t>
  </si>
  <si>
    <t>US NRC / EPA</t>
  </si>
  <si>
    <t>Technical Basis</t>
  </si>
  <si>
    <t>NUREG-1465 accident source terms; fission product release fractions; TID-14844</t>
  </si>
  <si>
    <t>Gap release, early in-vessel, ex-vessel: I, Cs, Te, Ba, Ru, Ce, La fractions</t>
  </si>
  <si>
    <t>ICRP 68 Appendix: Dose Coefficients for Activation Products</t>
  </si>
  <si>
    <t>★ Reference</t>
  </si>
  <si>
    <t>e(50) for Co-58, Co-60, Fe-55, H-3, C-14, Ni-63; specific to nuclear workers</t>
  </si>
  <si>
    <t>Nuclear worker internal dose from activation products in coolant/air</t>
  </si>
  <si>
    <t>Mozumder: Fundamentals of Radiation Chemistry</t>
  </si>
  <si>
    <t>Academic Press</t>
  </si>
  <si>
    <t>1999</t>
  </si>
  <si>
    <t>Theoretical foundations; LET; spur/track chemistry; radiolysis kinetics; G-value derivation</t>
  </si>
  <si>
    <t>Track structure; spur chemistry; H₂O radiolysis mechanism; OH yield vs LET</t>
  </si>
  <si>
    <t>IAEA TECDOC-1065: Radiation Degradation of Polymers in Nuclear Applications</t>
  </si>
  <si>
    <t>Radiation degradation of elastomers, plastics, cables; dose rates and thresholds</t>
  </si>
  <si>
    <t>Polymer chain scission; crosslinking; H₂ gas generation; O₂ effects; dose thresholds</t>
  </si>
  <si>
    <t>Gray &amp; Platzman: The Mechanism of Radiation Chemistry</t>
  </si>
  <si>
    <t>1955</t>
  </si>
  <si>
    <t>Classic Paper</t>
  </si>
  <si>
    <t>Historical foundation of water radiolysis mechanism; ionic vs radical yields</t>
  </si>
  <si>
    <t>H, OH, H₂, H₂O₂ primary products; ionic intermediates; cage effect</t>
  </si>
  <si>
    <t>US DOE Standard DOE-STD-1098: Radiological Control</t>
  </si>
  <si>
    <t>Standard</t>
  </si>
  <si>
    <t>Radiological work permits; contamination control; activation product surveys; air sampling</t>
  </si>
  <si>
    <t>Tritium, C-14, Co-60 surface contamination action levels; airborne monitoring</t>
  </si>
  <si>
    <t>Gammage &amp; Aldrich: Environmental Monitoring of Radon and Its Progeny</t>
  </si>
  <si>
    <t>Elsevier</t>
  </si>
  <si>
    <t>Reference</t>
  </si>
  <si>
    <t>Radon decay products: Po-218, Pb-214, Bi-214, Po-214; working level measurement</t>
  </si>
  <si>
    <t>Rn-222 decay chain; α-emitting short-lived progeny; lung dose; WL and WLM units</t>
  </si>
  <si>
    <t>UNSCEAR 2008 Report: Sources and Effects of Ionizing Radiation</t>
  </si>
  <si>
    <t>UN</t>
  </si>
  <si>
    <t>Global radiation source inventory; natural background; radon; medical; nuclear tests; accidents</t>
  </si>
  <si>
    <t>Cosmic, terrestrial, radon progeny, artificial sources; Chernobyl, Fukushima inventories</t>
  </si>
  <si>
    <t>NCRP 142: Operational Radiation Safety Program for Astronauts in LEO</t>
  </si>
  <si>
    <t>NCRP Report</t>
  </si>
  <si>
    <t>Space radiation: GCR, SPE; secondary neutrons and protons; HZE particles; shielding</t>
  </si>
  <si>
    <t>Secondary particles: neutrons, protons, pions, muons from GCR interactions with shielding</t>
  </si>
  <si>
    <t>Computational Tools — Monte Carlo Codes, Deterministic Solvers &amp; Dosimetry Software</t>
  </si>
  <si>
    <t>Purple = Monte Carlo code | Orange = activation/inventory code | Blue = deterministic/analytical | Green = dosimetry software</t>
  </si>
  <si>
    <t>Code / Tool</t>
  </si>
  <si>
    <t>Developer</t>
  </si>
  <si>
    <t>Method</t>
  </si>
  <si>
    <t>Particle Types</t>
  </si>
  <si>
    <t>Primary Applications</t>
  </si>
  <si>
    <t>Reference / URL</t>
  </si>
  <si>
    <t>MCNP6 (Monte Carlo N-Particle)</t>
  </si>
  <si>
    <t>Los Alamos NL (USA)</t>
  </si>
  <si>
    <t>Monte Carlo</t>
  </si>
  <si>
    <t>n, γ, e⁻, p, α, heavy ions, muons, 37 particle types</t>
  </si>
  <si>
    <t>10⁻¹¹ MeV – 1 TeV</t>
  </si>
  <si>
    <t>Shielding, criticality, dosimetry, medical physics, nuclear security, detector design</t>
  </si>
  <si>
    <t>GEANT4</t>
  </si>
  <si>
    <t>CERN (international)</t>
  </si>
  <si>
    <t>All particles; EM, hadronic, optical photons, ions</t>
  </si>
  <si>
    <t>0 – TeV</t>
  </si>
  <si>
    <t>Radiotherapy, space radiation, HEP detector sim, nuclear medicine, shielding</t>
  </si>
  <si>
    <t>FLUKA</t>
  </si>
  <si>
    <t>CERN + INFN (Italy)</t>
  </si>
  <si>
    <t>n, γ, e⁻/+, μ, p, heavy ions, neutrinos</t>
  </si>
  <si>
    <t>0.001 eV – 100 TeV</t>
  </si>
  <si>
    <t>High energy shielding, accelerator design, space dosimetry, activation products</t>
  </si>
  <si>
    <t>EGSnrc / BEAMnrc</t>
  </si>
  <si>
    <t>NRC Canada + SLAC</t>
  </si>
  <si>
    <t>e⁻, e⁺, γ; full Compton-Compton-Klein-Nishina</t>
  </si>
  <si>
    <t>1 keV – 10 GeV</t>
  </si>
  <si>
    <t>Medical accelerator dosimetry, TPS validation, absorbed dose to water, film dosimetry</t>
  </si>
  <si>
    <t>PENELOPE</t>
  </si>
  <si>
    <t>Univ. Barcelona / OECD-NEA</t>
  </si>
  <si>
    <t>e⁻, e⁺, γ</t>
  </si>
  <si>
    <t>50 eV – 1 GeV</t>
  </si>
  <si>
    <t>Low-energy electron dosimetry, brachytherapy, keV photon interactions, skin dosimetry</t>
  </si>
  <si>
    <t>PHITS</t>
  </si>
  <si>
    <t>JAEA + RIST (Japan)</t>
  </si>
  <si>
    <t>n, γ, e⁻/+, p, heavy ions, pions</t>
  </si>
  <si>
    <t>0 – several TeV</t>
  </si>
  <si>
    <t>Space radiation, heavy ion therapy, activation, neutron dosimetry, nuclear medicine</t>
  </si>
  <si>
    <t>TRIPOLI-4</t>
  </si>
  <si>
    <t>CEA (France)</t>
  </si>
  <si>
    <t>n, γ, e⁻/+</t>
  </si>
  <si>
    <t>Reactor physics, criticality, shielding, gamma transport, uncertainty analysis</t>
  </si>
  <si>
    <t>SCALE 6.2 / ORIGEN-S</t>
  </si>
  <si>
    <t>Oak Ridge NL (USA)</t>
  </si>
  <si>
    <t>Deterministic + MC</t>
  </si>
  <si>
    <t>n, γ; depletion/activation</t>
  </si>
  <si>
    <t>Fuel depletion, activation inventory, shielding, criticality, waste characterization</t>
  </si>
  <si>
    <t>FISPACT-II</t>
  </si>
  <si>
    <t>UKAEA (UK)</t>
  </si>
  <si>
    <t>Deterministic</t>
  </si>
  <si>
    <t>n, p, d, γ, α activation</t>
  </si>
  <si>
    <t>Thermal to 200 MeV</t>
  </si>
  <si>
    <t>Activation of materials, fusion/fission component activation, clearance level calc</t>
  </si>
  <si>
    <t>ACAB (Activation Code)</t>
  </si>
  <si>
    <t>UNED (Spain)</t>
  </si>
  <si>
    <t>n, p, d, γ activation</t>
  </si>
  <si>
    <t>Thermal to 1 GeV</t>
  </si>
  <si>
    <t>Fusion material activation, waste characterization, dose rates from activated materials</t>
  </si>
  <si>
    <t>DORT / TORT (Discrete Ordinates)</t>
  </si>
  <si>
    <t>Deterministic SN</t>
  </si>
  <si>
    <t>n, γ</t>
  </si>
  <si>
    <t>Deep penetration shielding, 2D/3D transport, reactor analysis</t>
  </si>
  <si>
    <t>ATTILA (3D Unstructured Mesh SN)</t>
  </si>
  <si>
    <t>Varian / Transpire</t>
  </si>
  <si>
    <t>n, γ, e⁻</t>
  </si>
  <si>
    <t>Medical accelerator shielding, plant-level dose rates, regulatory shield calculations</t>
  </si>
  <si>
    <t>QAD-CGGP</t>
  </si>
  <si>
    <t>Point Kernel</t>
  </si>
  <si>
    <t>γ (photon only)</t>
  </si>
  <si>
    <t>0.01 – 20 MeV</t>
  </si>
  <si>
    <t>Quick gamma shielding estimates; point/line/volume sources; buildup factor approach</t>
  </si>
  <si>
    <t>MicroShield (Grove Software)</t>
  </si>
  <si>
    <t>Grove Engineering</t>
  </si>
  <si>
    <t>γ</t>
  </si>
  <si>
    <t>Regulatory shielding calculations for sealed sources, casks, hot cells; NUREG validation</t>
  </si>
  <si>
    <t>IMBA Professional Plus</t>
  </si>
  <si>
    <t>HPA/PHE (UK)</t>
  </si>
  <si>
    <t>Internal dosimetry</t>
  </si>
  <si>
    <t>All internal radionuclides (ICRP)</t>
  </si>
  <si>
    <t>ICRP 30/68/130 models</t>
  </si>
  <si>
    <t>Bioassay interpretation, intake assessment, committed dose calculation from urine/blood/lung counting</t>
  </si>
  <si>
    <t>LUDEP</t>
  </si>
  <si>
    <t>NRPB/PHE (UK)</t>
  </si>
  <si>
    <t>Lung model (HRTM)</t>
  </si>
  <si>
    <t>ICRP 66 model</t>
  </si>
  <si>
    <t>Lung dose from inhalation; HRTM clearance calculations; deposition fractions by particle size</t>
  </si>
  <si>
    <t>Varskin 5</t>
  </si>
  <si>
    <t>Pacific NW NL (USA)</t>
  </si>
  <si>
    <t>Skin dosimetry</t>
  </si>
  <si>
    <t>β, γ, X-ray (external skin)</t>
  </si>
  <si>
    <t>Low energy to 3 MeV</t>
  </si>
  <si>
    <t>Skin dose from contamination; hot particle dose; 70 μm depth dose; shallow dose equivalent</t>
  </si>
  <si>
    <t>PCXMC</t>
  </si>
  <si>
    <t>STUK (Finland)</t>
  </si>
  <si>
    <t>γ, X-ray; patient dosimetry</t>
  </si>
  <si>
    <t>10 keV – 3 MeV</t>
  </si>
  <si>
    <t>Patient organ doses from diagnostic radiology; paediatric to adult phantoms; CT/conventional X-ray</t>
  </si>
  <si>
    <t>RadDecay / Nuclide Database</t>
  </si>
  <si>
    <t>Grove Software</t>
  </si>
  <si>
    <t>Decay chain</t>
  </si>
  <si>
    <t>All</t>
  </si>
  <si>
    <t>Decay chain buildup; progeny inventory; source term calculation for decay chains</t>
  </si>
  <si>
    <t>MathCAD / MATLAB Templates (DOE)</t>
  </si>
  <si>
    <t>US DOE / various</t>
  </si>
  <si>
    <t>Analytical</t>
  </si>
  <si>
    <t>γ, β, n</t>
  </si>
  <si>
    <t>Applicable range</t>
  </si>
  <si>
    <t>Batch shielding calculations; ALI/DAC derivations; hand calculation verification templates</t>
  </si>
  <si>
    <t>Turn #</t>
  </si>
  <si>
    <t>Date</t>
  </si>
  <si>
    <t>User Request</t>
  </si>
  <si>
    <t>Action Taken</t>
  </si>
  <si>
    <t>Details</t>
  </si>
  <si>
    <t>Outcome</t>
  </si>
  <si>
    <t>Deep analysis of workbook and plan upgrade with more detailed research and calculation tools</t>
  </si>
  <si>
    <t>Full audit of all 8 sheets; identified gaps in Dose Calculation sections 2-4 (empty data rows); proposed comprehensive upgrade plan</t>
  </si>
  <si>
    <t>Dose Calculation sheet has Section 1 (Fundamental Quantities) populated but Sections 2 (wR), 3 (wT), 4 (Dose Limits) have headers only with no data. Reference sheets (ICRP, IAEA, NCRP/ICRU, Physics Data, Degradation Products, Computational Tools) are all well-populated.</t>
  </si>
  <si>
    <t>Presented 3-phase upgrade plan: (1) Fill empty sections 2-4, (2) Add 6 interactive calculators, (3) Add Radionuclide Data reference sheet. Awaiting user confirmation.</t>
  </si>
  <si>
    <t>Photons (all energies)</t>
  </si>
  <si>
    <t>Includes X-rays, γ-rays; independent of energy</t>
  </si>
  <si>
    <t>Electrons &amp; muons (all energies)</t>
  </si>
  <si>
    <t>Includes β⁻, β⁺, Auger electrons</t>
  </si>
  <si>
    <t>Protons &amp; charged pions</t>
  </si>
  <si>
    <t>&gt; 2 MeV</t>
  </si>
  <si>
    <t>New in ICRP 103; previously wR=5 in ICRP 60</t>
  </si>
  <si>
    <t>Alpha particles, fission fragments, heavy ions</t>
  </si>
  <si>
    <t>Highest wR; high-LET radiation; RBE &gt;&gt; 1</t>
  </si>
  <si>
    <t>Neutrons (&lt; 1 MeV)</t>
  </si>
  <si>
    <t>&lt; 1 MeV</t>
  </si>
  <si>
    <t>2.5 – 5.0</t>
  </si>
  <si>
    <t>Continuous function of energy per ICRP 103 Eq. A.1</t>
  </si>
  <si>
    <t>Neutrons (1 MeV – 50 MeV)</t>
  </si>
  <si>
    <t>1 – 50 MeV</t>
  </si>
  <si>
    <t>5.0 – 20.0</t>
  </si>
  <si>
    <t>Peak wR ≈ 20 near 1 MeV; falls at higher energies</t>
  </si>
  <si>
    <t>Neutrons (&gt; 50 MeV)</t>
  </si>
  <si>
    <t>&gt; 50 MeV</t>
  </si>
  <si>
    <t>5.0 – 2.5</t>
  </si>
  <si>
    <t>Decreases at very high energies; same formula</t>
  </si>
  <si>
    <t>Neutron wR formula (ICRP 103)</t>
  </si>
  <si>
    <t>All En</t>
  </si>
  <si>
    <t>Eq. A.1</t>
  </si>
  <si>
    <t>wR = 2.5 + 18.2·exp(−[ln(En)]²/6) for En in MeV</t>
  </si>
  <si>
    <t>Bone marrow (red)</t>
  </si>
  <si>
    <t>Unchanged from ICRP 60</t>
  </si>
  <si>
    <t>Colon</t>
  </si>
  <si>
    <t>New in ICRP 103 (was part of 'remainder' in ICRP 60)</t>
  </si>
  <si>
    <t>Lung</t>
  </si>
  <si>
    <t>Stomach</t>
  </si>
  <si>
    <t>Breast</t>
  </si>
  <si>
    <t>Increased from 0.05 → 0.12 in ICRP 103</t>
  </si>
  <si>
    <t>ΣwT (0.12 group)</t>
  </si>
  <si>
    <t>Subtotal: 5 tissues × 0.12 = 0.60</t>
  </si>
  <si>
    <t>Gonads</t>
  </si>
  <si>
    <t>Decreased from 0.20 → 0.08 in ICRP 103</t>
  </si>
  <si>
    <t>Bladder</t>
  </si>
  <si>
    <t>Slightly reduced from ICRP 60</t>
  </si>
  <si>
    <t>Oesophagus</t>
  </si>
  <si>
    <t>Liver</t>
  </si>
  <si>
    <t>Thyroid</t>
  </si>
  <si>
    <t>ΣwT (0.04 group)</t>
  </si>
  <si>
    <t>Subtotal: 5 tissues × 0.04 = 0.20</t>
  </si>
  <si>
    <t>Bone surface</t>
  </si>
  <si>
    <t>Brain</t>
  </si>
  <si>
    <t>New in ICRP 103</t>
  </si>
  <si>
    <t>Salivary glands</t>
  </si>
  <si>
    <t>Skin</t>
  </si>
  <si>
    <t>ΣwT (0.01 group)</t>
  </si>
  <si>
    <t>Subtotal: 4 tissues × 0.01 = 0.04</t>
  </si>
  <si>
    <t>Remainder tissues (14 tissues)</t>
  </si>
  <si>
    <t>Adrenals, ET region, gall bladder, heart, kidneys, lymph nodes, muscle, oral mucosa, pancreas, prostate/uterus, small intestine, spleen, thymus, extrathoracic airways</t>
  </si>
  <si>
    <t>★ GRAND TOTAL ΣwT</t>
  </si>
  <si>
    <t>28+</t>
  </si>
  <si>
    <t>Verification: 0.60 + 0.08 + 0.20 + 0.04 + 0.12 = 1.00 ✓</t>
  </si>
  <si>
    <t>Occupational — Whole body</t>
  </si>
  <si>
    <t>Effective dose E</t>
  </si>
  <si>
    <t>20 mSv/y (avg)</t>
  </si>
  <si>
    <t>5 consecutive years</t>
  </si>
  <si>
    <t>ICRP 103 §6.5; GSR Part 3 Sch.III</t>
  </si>
  <si>
    <t>Max 50 mSv in any single year; ≤100 mSv in 5 years</t>
  </si>
  <si>
    <t>Occupational — Eye lens</t>
  </si>
  <si>
    <t>Equivalent dose HT</t>
  </si>
  <si>
    <t>ICRP 118 (2012); GSR Part 3 Rev.</t>
  </si>
  <si>
    <t>Max 50 mSv single year. Reduced from 150 mSv/y (ICRP 60)</t>
  </si>
  <si>
    <t>Occupational — Skin</t>
  </si>
  <si>
    <t>500 mSv/y</t>
  </si>
  <si>
    <t>1 year</t>
  </si>
  <si>
    <t>ICRP 103 §6.5; GSR Part 3</t>
  </si>
  <si>
    <t>Averaged over 1 cm² at 0.07 mm depth</t>
  </si>
  <si>
    <t>Occupational — Extremities (hands/feet)</t>
  </si>
  <si>
    <t>Hands, forearms, feet, ankles</t>
  </si>
  <si>
    <t>Public — Whole body</t>
  </si>
  <si>
    <t>1 mSv/y</t>
  </si>
  <si>
    <t>In special circumstances, higher in single year if 5-yr avg ≤1 mSv/y</t>
  </si>
  <si>
    <t>Public — Eye lens</t>
  </si>
  <si>
    <t>15 mSv/y</t>
  </si>
  <si>
    <t>ICRP 103; GSR Part 3</t>
  </si>
  <si>
    <t>Lower than occupational to reflect continuous exposure</t>
  </si>
  <si>
    <t>Public — Skin</t>
  </si>
  <si>
    <t>50 mSv/y</t>
  </si>
  <si>
    <t>1/10 of occupational skin dose limit</t>
  </si>
  <si>
    <t>Pregnant worker (after declaration)</t>
  </si>
  <si>
    <t>Equiv. dose to embryo/fetus</t>
  </si>
  <si>
    <t>1 mSv</t>
  </si>
  <si>
    <t>Remainder of pregnancy</t>
  </si>
  <si>
    <t>ICRP 103 §6.7; NCRP 174</t>
  </si>
  <si>
    <t>Same as public; dose to fetus from external + internal</t>
  </si>
  <si>
    <t>Emergency — Life saving</t>
  </si>
  <si>
    <t>No limit (ref ~500 mSv)</t>
  </si>
  <si>
    <t>Single event</t>
  </si>
  <si>
    <t>ICRP 103 §6.6; GSG-2</t>
  </si>
  <si>
    <t>Informed volunteers only; reference level ~500 mSv or ~1 Gy for life saving</t>
  </si>
  <si>
    <t>Emergency — Other urgent actions</t>
  </si>
  <si>
    <t>Ref. level ~100 mSv</t>
  </si>
  <si>
    <t>Urgent protective actions; avoid deterministic effects</t>
  </si>
  <si>
    <t>RADIONUCLIDE PHYSICAL DATA — REFERENCE TABLE</t>
  </si>
  <si>
    <t>Source: ICRP 107 (2008), NNDC/BNL Evaluated Nuclear Structure Data File, NIST XCOM</t>
  </si>
  <si>
    <t>Nuclide</t>
  </si>
  <si>
    <t>Half-Life</t>
  </si>
  <si>
    <t>Half-Life (s)</t>
  </si>
  <si>
    <t>λ (s⁻¹)</t>
  </si>
  <si>
    <t>Decay Mode</t>
  </si>
  <si>
    <t>Eγ (MeV)</t>
  </si>
  <si>
    <t>Γ (R·cm²/mCi·h)</t>
  </si>
  <si>
    <t>Sp. Activity (Ci/g)</t>
  </si>
  <si>
    <t>ALI Inhal. (μCi)</t>
  </si>
  <si>
    <t>ALI Ingest. (μCi)</t>
  </si>
  <si>
    <t>DAC (μCi/mL)</t>
  </si>
  <si>
    <t>Hydrogen-3</t>
  </si>
  <si>
    <t>H-3</t>
  </si>
  <si>
    <t>12.32 y</t>
  </si>
  <si>
    <t>β⁻</t>
  </si>
  <si>
    <t>Carbon-14</t>
  </si>
  <si>
    <t>C-14</t>
  </si>
  <si>
    <t>5730 y</t>
  </si>
  <si>
    <t>Fluorine-18</t>
  </si>
  <si>
    <t>F-18</t>
  </si>
  <si>
    <t>109.77 min</t>
  </si>
  <si>
    <t>β⁺, EC</t>
  </si>
  <si>
    <t>Phosphorus-32</t>
  </si>
  <si>
    <t>P-32</t>
  </si>
  <si>
    <t>14.26 d</t>
  </si>
  <si>
    <t>Chromium-51</t>
  </si>
  <si>
    <t>Cr-51</t>
  </si>
  <si>
    <t>27.70 d</t>
  </si>
  <si>
    <t>EC</t>
  </si>
  <si>
    <t>Cobalt-57</t>
  </si>
  <si>
    <t>Co-57</t>
  </si>
  <si>
    <t>271.74 d</t>
  </si>
  <si>
    <t>Cobalt-60</t>
  </si>
  <si>
    <t>Co-60</t>
  </si>
  <si>
    <t>5.271 y</t>
  </si>
  <si>
    <t>1.17, 1.33</t>
  </si>
  <si>
    <t>Gallium-67</t>
  </si>
  <si>
    <t>Ga-67</t>
  </si>
  <si>
    <t>3.261 d</t>
  </si>
  <si>
    <t>0.093, 0.185, 0.300</t>
  </si>
  <si>
    <t>Strontium-90</t>
  </si>
  <si>
    <t>Sr-90</t>
  </si>
  <si>
    <t>28.80 y</t>
  </si>
  <si>
    <t>Technetium-99m</t>
  </si>
  <si>
    <t>Tc-99m</t>
  </si>
  <si>
    <t>6.01 h</t>
  </si>
  <si>
    <t>IT</t>
  </si>
  <si>
    <t>Iodine-125</t>
  </si>
  <si>
    <t>I-125</t>
  </si>
  <si>
    <t>59.40 d</t>
  </si>
  <si>
    <t>Iodine-131</t>
  </si>
  <si>
    <t>I-131</t>
  </si>
  <si>
    <t>8.025 d</t>
  </si>
  <si>
    <t>Cesium-137</t>
  </si>
  <si>
    <t>Cs-137</t>
  </si>
  <si>
    <t>30.07 y</t>
  </si>
  <si>
    <t>Iridium-192</t>
  </si>
  <si>
    <t>Ir-192</t>
  </si>
  <si>
    <t>73.83 d</t>
  </si>
  <si>
    <t>β⁻, EC</t>
  </si>
  <si>
    <t>0.296–0.612</t>
  </si>
  <si>
    <t>Thallium-201</t>
  </si>
  <si>
    <t>Tl-201</t>
  </si>
  <si>
    <t>3.038 d</t>
  </si>
  <si>
    <t>0.068–0.167</t>
  </si>
  <si>
    <t>Radium-226</t>
  </si>
  <si>
    <t>Ra-226</t>
  </si>
  <si>
    <t>1600 y</t>
  </si>
  <si>
    <t>α</t>
  </si>
  <si>
    <t>0.186 + daughters</t>
  </si>
  <si>
    <t>Uranium-235</t>
  </si>
  <si>
    <t>U-235</t>
  </si>
  <si>
    <t>7.04E+08 y</t>
  </si>
  <si>
    <t>Uranium-238</t>
  </si>
  <si>
    <t>U-238</t>
  </si>
  <si>
    <t>4.47E+09 y</t>
  </si>
  <si>
    <t>Plutonium-239</t>
  </si>
  <si>
    <t>Pu-239</t>
  </si>
  <si>
    <t>24110 y</t>
  </si>
  <si>
    <t>Americium-241</t>
  </si>
  <si>
    <t>Am-241</t>
  </si>
  <si>
    <t>432.2 y</t>
  </si>
  <si>
    <t>5. POINT SOURCE DOSE RATE CALCULATOR — Ḋ = Γ · A / d²</t>
  </si>
  <si>
    <t>Select Nuclide:</t>
  </si>
  <si>
    <t>(choose from dropdown)</t>
  </si>
  <si>
    <t>Activity (A):</t>
  </si>
  <si>
    <t>mCi</t>
  </si>
  <si>
    <t>Distance (d):</t>
  </si>
  <si>
    <t>cm</t>
  </si>
  <si>
    <t>Γ (exposure rate constant):</t>
  </si>
  <si>
    <t>R·cm²/(mCi·h)</t>
  </si>
  <si>
    <t>▶ Dose Rate (Ḋ):</t>
  </si>
  <si>
    <t>mR/h</t>
  </si>
  <si>
    <t>mSv/h (approx)</t>
  </si>
  <si>
    <t>6. INVERSE SQUARE LAW CALCULATOR — Ḋ₂ = Ḋ₁ · (d₁/d₂)²</t>
  </si>
  <si>
    <t>Known Dose Rate (Ḋ₁):</t>
  </si>
  <si>
    <t>mR/h (or any unit)</t>
  </si>
  <si>
    <t>Known Distance (d₁):</t>
  </si>
  <si>
    <t>New Distance (d₂):</t>
  </si>
  <si>
    <t>▶ New Dose Rate (Ḋ₂):</t>
  </si>
  <si>
    <t>same units as Ḋ₁</t>
  </si>
  <si>
    <t>▶ Reduction Factor:</t>
  </si>
  <si>
    <t>×</t>
  </si>
  <si>
    <t>7. RADIOACTIVE DECAY CALCULATOR — A(t) = A₀ · (½)^(t/t½)</t>
  </si>
  <si>
    <t>Initial Activity (A₀):</t>
  </si>
  <si>
    <t>Elapsed Time (t):</t>
  </si>
  <si>
    <t>Time Unit:</t>
  </si>
  <si>
    <t>(s, min, h, d, y)</t>
  </si>
  <si>
    <t>Half-Life:</t>
  </si>
  <si>
    <t>(from lookup)</t>
  </si>
  <si>
    <t>λ (decay constant):</t>
  </si>
  <si>
    <t>s⁻¹</t>
  </si>
  <si>
    <t>▶ Remaining Activity A(t):</t>
  </si>
  <si>
    <t>▶ Fraction Remaining:</t>
  </si>
  <si>
    <t>▶ Number of Half-Lives:</t>
  </si>
  <si>
    <t>8. SHIELDING THICKNESS CALCULATOR — I = I₀ · (½)^(x/HVL)</t>
  </si>
  <si>
    <t>Unshielded Dose Rate (I₀):</t>
  </si>
  <si>
    <t>Desired Dose Rate (I):</t>
  </si>
  <si>
    <t>Half-Value Layer (HVL):</t>
  </si>
  <si>
    <t>▶ Required # of HVLs:</t>
  </si>
  <si>
    <t>▶ Required Thickness:</t>
  </si>
  <si>
    <t>▶ TVL (Tenth-Value Layer):</t>
  </si>
  <si>
    <t>▶ Transmission Factor:</t>
  </si>
  <si>
    <t>▶ Attenuation (%):</t>
  </si>
  <si>
    <t>%</t>
  </si>
  <si>
    <t>9. INTERNAL DOSE CALCULATOR — E(50) = Intake × e(50)</t>
  </si>
  <si>
    <t>Intake (I):</t>
  </si>
  <si>
    <t>μCi</t>
  </si>
  <si>
    <t>Pathway:</t>
  </si>
  <si>
    <t>(Inhalation/Ingestion)</t>
  </si>
  <si>
    <t>ALI for pathway:</t>
  </si>
  <si>
    <t>▶ Committed Eff. Dose E(50):</t>
  </si>
  <si>
    <t>mSv</t>
  </si>
  <si>
    <t>▶ Fraction of ALI used:</t>
  </si>
  <si>
    <t>▶ Exceeds annual limit?</t>
  </si>
  <si>
    <t>10. ALI/DAC COMPLIANCE CHECK — Fraction = Intake / ALI</t>
  </si>
  <si>
    <t>Annual Intake:</t>
  </si>
  <si>
    <t>Air Concentration:</t>
  </si>
  <si>
    <t>μCi/mL</t>
  </si>
  <si>
    <t>ALI (Inhalation):</t>
  </si>
  <si>
    <t>ALI (Ingestion):</t>
  </si>
  <si>
    <t>DAC:</t>
  </si>
  <si>
    <t>▶ Fraction of ALI (inhal.):</t>
  </si>
  <si>
    <t>▶ Fraction of ALI (ingest.):</t>
  </si>
  <si>
    <t>▶ Air Conc. / DAC:</t>
  </si>
  <si>
    <t>▶ Compliance Status:</t>
  </si>
  <si>
    <t>years</t>
  </si>
  <si>
    <t>Inhalation</t>
  </si>
  <si>
    <t>Calculates exposure rate at distance d from a point source of activity A. Uses specific gamma-ray constant Γ from ICRP 107.</t>
  </si>
  <si>
    <t>Estimates dose rate change when distance changes. Assumes point source geometry (valid when d &gt;&gt; source dimensions).</t>
  </si>
  <si>
    <t>Calculates remaining activity after elapsed time. Select nuclide or enter custom half-life.</t>
  </si>
  <si>
    <t>Determines required shielding thickness to reduce dose rate from I₀ to target I. Enter HVL for your material/energy.</t>
  </si>
  <si>
    <t>Estimates committed effective dose E(50) from internal intake using ALI values per 10 CFR 20 / ICRP 103.</t>
  </si>
  <si>
    <t>Checks whether intake or airborne concentration exceeds Annual Limit on Intake (ALI) or Derived Air Concentration (DAC).</t>
  </si>
  <si>
    <t>Absorbed dose, equivalent dose, effective dose, wR, wT, dose limits, 6 live calculators</t>
  </si>
  <si>
    <t>10 quantities + 6 calculators</t>
  </si>
  <si>
    <t>Radionuclide Data</t>
  </si>
  <si>
    <t>Half-lives, decay modes, gamma energies, Γ factors, specific activities, ALI, DAC</t>
  </si>
  <si>
    <t>20 nuclides</t>
  </si>
  <si>
    <t>Calculator input cell — user enters values here</t>
  </si>
  <si>
    <t>Calculator output cell — computed from formula</t>
  </si>
  <si>
    <t>User confirmed plan and asked to proceed with Phase 2 — wiring all 6 calculator sections with live formulas</t>
  </si>
  <si>
    <t>Wired formulas for all 6 calculator sections (S5-S10) on Dose Calculation sheet, formatted outputs, added sub-descriptions, updated Overview &amp; Index with new Radionuclide Data sheet listing and colour-code legend entries for calculator cells</t>
  </si>
  <si>
    <t>S5 Point Source: VLOOKUP for Γ from Radionuclide Data, D=ΓA/d². S6 Inverse Square: D₂=D₁(d₁/d₂)². S7 Decay: VLOOKUP for t½ &amp; λ, A(t)=A₀e^(-λt) with unit conversion. S8 Shielding: n=log₂(I₀/I), x=n×HVL, TVL calc. S9 Internal Dose: VLOOKUP ALI by pathway, E(50)=(I/ALI)×20mSv. S10 ALI/DAC: triple lookup (ALI_inh, ALI_ing, DAC), fraction-of-limit with 3-tier compliance flags. All formulas verified with test values.</t>
  </si>
  <si>
    <t>All 6 calculators operational with correct physics. Nuclide dropdowns linked to Radionuclide Data sheet. Overview updated with sheet 9 and new colour legend. Phase 2 complete.</t>
  </si>
  <si>
    <t>RADIONUCLIDE DECAY CHAINS — COMPREHENSIVE REFERENCE TABLE</t>
  </si>
  <si>
    <t>Source: ICRP 107 (2008), NNDC/BNL Chart of Nuclides (NuDat 3.0), ENSDF, Brookhaven National Laboratory</t>
  </si>
  <si>
    <t>Decay modes: α = alpha, β⁻ = beta-minus, β⁺ = beta-plus/positron, EC = electron capture, IT = isomeric transition, SF = spontaneous fission</t>
  </si>
  <si>
    <t>Chain / Series</t>
  </si>
  <si>
    <t>Z</t>
  </si>
  <si>
    <t>A</t>
  </si>
  <si>
    <t>N</t>
  </si>
  <si>
    <t>Branch %</t>
  </si>
  <si>
    <t>Eα/Eβ (MeV)</t>
  </si>
  <si>
    <t>Daughter Product</t>
  </si>
  <si>
    <t>Step #</t>
  </si>
  <si>
    <t>Notes / Equilibrium</t>
  </si>
  <si>
    <t>URANIUM-238 SERIES (4n+2)</t>
  </si>
  <si>
    <t>Also called Radium series; ends at Pb-206</t>
  </si>
  <si>
    <t>U-238 Series</t>
  </si>
  <si>
    <t>4.468 × 10⁹ y</t>
  </si>
  <si>
    <t>Th-234</t>
  </si>
  <si>
    <t>Primordial; most abundant U isotope (99.27%)</t>
  </si>
  <si>
    <t>Thorium-234</t>
  </si>
  <si>
    <t>24.10 d</t>
  </si>
  <si>
    <t>Pa-234m</t>
  </si>
  <si>
    <t>Secular equilibrium with U-238</t>
  </si>
  <si>
    <t>Protactinium-234m</t>
  </si>
  <si>
    <t>1.17 min</t>
  </si>
  <si>
    <t>U-234</t>
  </si>
  <si>
    <t>0.16% IT branch → Pa-234 (6.7h)</t>
  </si>
  <si>
    <t>Uranium-234</t>
  </si>
  <si>
    <t>2.455 × 10⁵ y</t>
  </si>
  <si>
    <t>Th-230</t>
  </si>
  <si>
    <t>Secular equilibrium with U-238 in aged ores</t>
  </si>
  <si>
    <t>Thorium-230</t>
  </si>
  <si>
    <t>7.538 × 10⁴ y</t>
  </si>
  <si>
    <t>Also called ionium; ocean sediment dating</t>
  </si>
  <si>
    <t>Rn-222</t>
  </si>
  <si>
    <t>Principal source of radon gas; high Γ factor</t>
  </si>
  <si>
    <t>Radon-222</t>
  </si>
  <si>
    <t>3.8235 d</t>
  </si>
  <si>
    <t>Po-218</t>
  </si>
  <si>
    <t>Noble gas; indoor air hazard; lung dose</t>
  </si>
  <si>
    <t>Polonium-218</t>
  </si>
  <si>
    <t>3.098 min</t>
  </si>
  <si>
    <t>Pb-214</t>
  </si>
  <si>
    <t>0.02% β⁻ branch → At-218</t>
  </si>
  <si>
    <t>Lead-214</t>
  </si>
  <si>
    <t>26.8 min</t>
  </si>
  <si>
    <t>Bi-214</t>
  </si>
  <si>
    <t>Radon progeny; WL measurement nuclide</t>
  </si>
  <si>
    <t>Bismuth-214</t>
  </si>
  <si>
    <t>19.9 min</t>
  </si>
  <si>
    <t>0.609, 1.120, 1.764</t>
  </si>
  <si>
    <t>Po-214</t>
  </si>
  <si>
    <t>0.02% α branch → Tl-210; major γ emitter</t>
  </si>
  <si>
    <t>Polonium-214</t>
  </si>
  <si>
    <t>164.3 μs</t>
  </si>
  <si>
    <t>Pb-210</t>
  </si>
  <si>
    <t>Extremely short-lived; highest α energy in chain</t>
  </si>
  <si>
    <t>Lead-210</t>
  </si>
  <si>
    <t>22.20 y</t>
  </si>
  <si>
    <t>Bi-210</t>
  </si>
  <si>
    <t>Environmental tracer; sediment dating</t>
  </si>
  <si>
    <t>Bismuth-210</t>
  </si>
  <si>
    <t>5.013 d</t>
  </si>
  <si>
    <t>Po-210</t>
  </si>
  <si>
    <t>~1.3×10⁻⁴% α branch to Tl-206</t>
  </si>
  <si>
    <t>Polonium-210</t>
  </si>
  <si>
    <t>138.376 d</t>
  </si>
  <si>
    <t>Pb-206 (STABLE)</t>
  </si>
  <si>
    <t>Litvinenko poisoning agent; end of U-238 chain</t>
  </si>
  <si>
    <t>Lead-206</t>
  </si>
  <si>
    <t>Pb-206</t>
  </si>
  <si>
    <t>STABLE</t>
  </si>
  <si>
    <t>End</t>
  </si>
  <si>
    <t>★ Stable end product of U-238 series</t>
  </si>
  <si>
    <t>URANIUM-235 SERIES (4n+3)</t>
  </si>
  <si>
    <t>Also called Actinium series; ends at Pb-207</t>
  </si>
  <si>
    <t>U-235 Series</t>
  </si>
  <si>
    <t>7.038 × 10⁸ y</t>
  </si>
  <si>
    <t>Th-231</t>
  </si>
  <si>
    <t>Fissile isotope (0.72% natural U); γ at 186 keV</t>
  </si>
  <si>
    <t>Thorium-231</t>
  </si>
  <si>
    <t>25.52 h</t>
  </si>
  <si>
    <t>Pa-231</t>
  </si>
  <si>
    <t>Short-lived; secular equilibrium</t>
  </si>
  <si>
    <t>Protactinium-231</t>
  </si>
  <si>
    <t>3.276 × 10⁴ y</t>
  </si>
  <si>
    <t>0.027, 0.283, 0.330</t>
  </si>
  <si>
    <t>Ac-227</t>
  </si>
  <si>
    <t>Series namesake; ocean tracer (Pa/Th dating)</t>
  </si>
  <si>
    <t>Actinium-227</t>
  </si>
  <si>
    <t>21.772 y</t>
  </si>
  <si>
    <t>Th-227</t>
  </si>
  <si>
    <t>1.38% α branch → Fr-223</t>
  </si>
  <si>
    <t>Thorium-227</t>
  </si>
  <si>
    <t>18.68 d</t>
  </si>
  <si>
    <t>0.236, 0.050</t>
  </si>
  <si>
    <t>Ra-223</t>
  </si>
  <si>
    <t>Transient equilibrium with Ac-227</t>
  </si>
  <si>
    <t>Radium-223</t>
  </si>
  <si>
    <t>11.43 d</t>
  </si>
  <si>
    <t>0.154, 0.269, 0.324</t>
  </si>
  <si>
    <t>Rn-219</t>
  </si>
  <si>
    <t>Xofigo® (Ra-223 dichloride) cancer therapy</t>
  </si>
  <si>
    <t>Radon-219</t>
  </si>
  <si>
    <t>3.96 s</t>
  </si>
  <si>
    <t>0.271, 0.402</t>
  </si>
  <si>
    <t>Po-215</t>
  </si>
  <si>
    <t>Also called actinon; very short-lived noble gas</t>
  </si>
  <si>
    <t>Polonium-215</t>
  </si>
  <si>
    <t>1.781 ms</t>
  </si>
  <si>
    <t>Pb-211</t>
  </si>
  <si>
    <t>~2.3×10⁻⁴% β⁻ branch → At-215</t>
  </si>
  <si>
    <t>Lead-211</t>
  </si>
  <si>
    <t>36.1 min</t>
  </si>
  <si>
    <t>0.405, 0.427, 0.832</t>
  </si>
  <si>
    <t>Bi-211</t>
  </si>
  <si>
    <t>Radon-219 progeny</t>
  </si>
  <si>
    <t>Bismuth-211</t>
  </si>
  <si>
    <t>2.14 min</t>
  </si>
  <si>
    <t>Tl-207</t>
  </si>
  <si>
    <t>0.276% β⁻ branch → Po-211</t>
  </si>
  <si>
    <t>Thallium-207</t>
  </si>
  <si>
    <t>4.77 min</t>
  </si>
  <si>
    <t>Pb-207 (STABLE)</t>
  </si>
  <si>
    <t>Final β⁻ decay to stable lead</t>
  </si>
  <si>
    <t>Lead-207</t>
  </si>
  <si>
    <t>Pb-207</t>
  </si>
  <si>
    <t>★ Stable end product of U-235 series</t>
  </si>
  <si>
    <t>THORIUM-232 SERIES (4n)</t>
  </si>
  <si>
    <t>Also called Thorium series; ends at Pb-208</t>
  </si>
  <si>
    <t>Th-232 Series</t>
  </si>
  <si>
    <t>Thorium-232</t>
  </si>
  <si>
    <t>Th-232</t>
  </si>
  <si>
    <t>1.405 × 10¹⁰ y</t>
  </si>
  <si>
    <t>Ra-228</t>
  </si>
  <si>
    <t>Primordial; 3× more abundant than uranium</t>
  </si>
  <si>
    <t>Radium-228</t>
  </si>
  <si>
    <t>5.75 y</t>
  </si>
  <si>
    <t>Ac-228</t>
  </si>
  <si>
    <t>Also called mesothorium 1</t>
  </si>
  <si>
    <t>Actinium-228</t>
  </si>
  <si>
    <t>6.15 h</t>
  </si>
  <si>
    <t>0.338, 0.911, 0.969</t>
  </si>
  <si>
    <t>Th-228</t>
  </si>
  <si>
    <t>Strong γ emitter; environmental tracer</t>
  </si>
  <si>
    <t>Thorium-228</t>
  </si>
  <si>
    <t>1.9116 y</t>
  </si>
  <si>
    <t>Ra-224</t>
  </si>
  <si>
    <t>Also called radiothorium</t>
  </si>
  <si>
    <t>Radium-224</t>
  </si>
  <si>
    <t>3.66 d</t>
  </si>
  <si>
    <t>Rn-220</t>
  </si>
  <si>
    <t>Source of thoron (Rn-220)</t>
  </si>
  <si>
    <t>Radon-220</t>
  </si>
  <si>
    <t>55.6 s</t>
  </si>
  <si>
    <t>Po-216</t>
  </si>
  <si>
    <t>Also called thoron; indoor air contributor</t>
  </si>
  <si>
    <t>Polonium-216</t>
  </si>
  <si>
    <t>0.145 s</t>
  </si>
  <si>
    <t>Pb-212</t>
  </si>
  <si>
    <t>Very short-lived; no β⁻ branch</t>
  </si>
  <si>
    <t>Lead-212</t>
  </si>
  <si>
    <t>10.64 h</t>
  </si>
  <si>
    <t>0.239, 0.300</t>
  </si>
  <si>
    <t>Bi-212</t>
  </si>
  <si>
    <t>Thoron progeny; environmental marker</t>
  </si>
  <si>
    <t>Bismuth-212</t>
  </si>
  <si>
    <t>60.55 min</t>
  </si>
  <si>
    <t>β⁻ / α</t>
  </si>
  <si>
    <t>64.06% β⁻</t>
  </si>
  <si>
    <t>2.254 / 6.207</t>
  </si>
  <si>
    <t>0.727 / 0.040</t>
  </si>
  <si>
    <t>Po-212 (64%) / Tl-208 (36%)</t>
  </si>
  <si>
    <t>Major branch point: 64% β⁻→Po-212, 36% α→Tl-208</t>
  </si>
  <si>
    <t>Polonium-212</t>
  </si>
  <si>
    <t>Po-212</t>
  </si>
  <si>
    <t>0.299 μs</t>
  </si>
  <si>
    <t>Pb-208 (STABLE)</t>
  </si>
  <si>
    <t>10a</t>
  </si>
  <si>
    <t>Shortest-lived in chain; highest α energy</t>
  </si>
  <si>
    <t>Thallium-208</t>
  </si>
  <si>
    <t>Tl-208</t>
  </si>
  <si>
    <t>3.053 min</t>
  </si>
  <si>
    <t>10b</t>
  </si>
  <si>
    <t>2.615 MeV γ = strongest natural γ line; shielding benchmark</t>
  </si>
  <si>
    <t>Lead-208</t>
  </si>
  <si>
    <t>Pb-208</t>
  </si>
  <si>
    <t>★ Stable end product; doubly magic (Z=82, N=126)</t>
  </si>
  <si>
    <t>NEPTUNIUM-237 SERIES (4n+1)</t>
  </si>
  <si>
    <t>Artificial series; extinct in nature; ends at Bi-209 / Tl-205</t>
  </si>
  <si>
    <t>Np-237 Series</t>
  </si>
  <si>
    <t>Neptunium-237</t>
  </si>
  <si>
    <t>Np-237</t>
  </si>
  <si>
    <t>2.144 × 10⁶ y</t>
  </si>
  <si>
    <t>0.029, 0.086</t>
  </si>
  <si>
    <t>Pa-233</t>
  </si>
  <si>
    <t>Man-made; product of U-238 neutron capture → U-239 → Np-239 → Pu-239 → Am-241 → Np-237</t>
  </si>
  <si>
    <t>Protactinium-233</t>
  </si>
  <si>
    <t>26.967 d</t>
  </si>
  <si>
    <t>0.312, 0.340</t>
  </si>
  <si>
    <t>U-233</t>
  </si>
  <si>
    <t>Strong γ emitter; used for Np-237 assay</t>
  </si>
  <si>
    <t>Uranium-233</t>
  </si>
  <si>
    <t>1.592 × 10⁵ y</t>
  </si>
  <si>
    <t>0.042, 0.097</t>
  </si>
  <si>
    <t>Th-229</t>
  </si>
  <si>
    <t>Fissile; thorium fuel cycle product</t>
  </si>
  <si>
    <t>Thorium-229</t>
  </si>
  <si>
    <t>7340 y</t>
  </si>
  <si>
    <t>0.194, 0.031</t>
  </si>
  <si>
    <t>Ra-225</t>
  </si>
  <si>
    <t>Nuclear clock candidate; Th-229m isomer at 8.28 eV</t>
  </si>
  <si>
    <t>Radium-225</t>
  </si>
  <si>
    <t>14.9 d</t>
  </si>
  <si>
    <t>Ac-225</t>
  </si>
  <si>
    <t>Parent of Ac-225 for TAT cancer therapy</t>
  </si>
  <si>
    <t>Actinium-225</t>
  </si>
  <si>
    <t>10.0 d</t>
  </si>
  <si>
    <t>0.100, 0.150, 0.188</t>
  </si>
  <si>
    <t>Fr-221</t>
  </si>
  <si>
    <t>★ Targeted alpha therapy (TAT); Actimab®</t>
  </si>
  <si>
    <t>Francium-221</t>
  </si>
  <si>
    <t>4.9 min</t>
  </si>
  <si>
    <t>At-217</t>
  </si>
  <si>
    <t>Longest-lived francium isotope in this chain</t>
  </si>
  <si>
    <t>Astatine-217</t>
  </si>
  <si>
    <t>32.3 ms</t>
  </si>
  <si>
    <t>Bi-213</t>
  </si>
  <si>
    <t>0.01% β⁻ branch → Rn-217</t>
  </si>
  <si>
    <t>Bismuth-213</t>
  </si>
  <si>
    <t>45.59 min</t>
  </si>
  <si>
    <t>97.86% β⁻</t>
  </si>
  <si>
    <t>1.423 / 5.982</t>
  </si>
  <si>
    <t>Po-213 (97.9%) / Tl-209 (2.1%)</t>
  </si>
  <si>
    <t>Branch point: 97.9% β⁻→Po-213, 2.1% α→Tl-209; also used in TAT</t>
  </si>
  <si>
    <t>Polonium-213</t>
  </si>
  <si>
    <t>Po-213</t>
  </si>
  <si>
    <t>3.72 μs</t>
  </si>
  <si>
    <t>Pb-209</t>
  </si>
  <si>
    <t>Ultra-short-lived; high-energy α</t>
  </si>
  <si>
    <t>Thallium-209</t>
  </si>
  <si>
    <t>Tl-209</t>
  </si>
  <si>
    <t>2.161 min</t>
  </si>
  <si>
    <t>0.117, 0.465, 1.567</t>
  </si>
  <si>
    <t>Minor branch; both paths converge at Pb-209</t>
  </si>
  <si>
    <t>Lead-209</t>
  </si>
  <si>
    <t>3.253 h</t>
  </si>
  <si>
    <t>Bi-209 (quasi-STABLE)</t>
  </si>
  <si>
    <t>Both Po-213 and Tl-209 branches converge here</t>
  </si>
  <si>
    <t>Bismuth-209</t>
  </si>
  <si>
    <t>Bi-209</t>
  </si>
  <si>
    <t>2.01 × 10¹⁹ y</t>
  </si>
  <si>
    <t>Tl-205 (STABLE)</t>
  </si>
  <si>
    <t>Effectively stable; T½ ≈ 10⁹× age of universe</t>
  </si>
  <si>
    <t>Thallium-205</t>
  </si>
  <si>
    <t>Tl-205</t>
  </si>
  <si>
    <t>★ Stable end product of Np-237 series</t>
  </si>
  <si>
    <t>MEDICAL &amp; DIAGNOSTIC ISOTOPES</t>
  </si>
  <si>
    <t>Decay products for key medical/nuclear medicine isotopes</t>
  </si>
  <si>
    <t>Mo-99/Tc-99m</t>
  </si>
  <si>
    <t>Molybdenum-99</t>
  </si>
  <si>
    <t>Mo-99</t>
  </si>
  <si>
    <t>65.94 h</t>
  </si>
  <si>
    <t>87.6% → Tc-99m</t>
  </si>
  <si>
    <t>0.181, 0.740, 0.778</t>
  </si>
  <si>
    <t>Tc-99m (87.6%) / Tc-99 (12.4%)</t>
  </si>
  <si>
    <t>Fission product; ★ most important medical isotope; generator parent</t>
  </si>
  <si>
    <t>6.0058 h</t>
  </si>
  <si>
    <t>Tc-99</t>
  </si>
  <si>
    <t>Transient equilibrium with Mo-99; 30M+ procedures/yr</t>
  </si>
  <si>
    <t>Technetium-99</t>
  </si>
  <si>
    <t>2.111 × 10⁵ y</t>
  </si>
  <si>
    <t>Ru-99 (STABLE)</t>
  </si>
  <si>
    <t>Effectively stable for clinical purposes; weak β⁻</t>
  </si>
  <si>
    <t>F-18 (PET)</t>
  </si>
  <si>
    <t>β⁺ / EC</t>
  </si>
  <si>
    <t>96.73% β⁺</t>
  </si>
  <si>
    <t>0.511 (annih.)</t>
  </si>
  <si>
    <t>O-18 (STABLE)</t>
  </si>
  <si>
    <t>FDG-PET; 511 keV annihilation photons; single-step decay</t>
  </si>
  <si>
    <t>0.093, 0.185, 0.300, 0.394</t>
  </si>
  <si>
    <t>Zn-67 (STABLE)</t>
  </si>
  <si>
    <t>SPECT infection/tumor imaging; single-step decay</t>
  </si>
  <si>
    <t>0.135, 0.167 (Hg X-rays)</t>
  </si>
  <si>
    <t>Hg-201 (STABLE)</t>
  </si>
  <si>
    <t>Myocardial perfusion imaging; single-step decay</t>
  </si>
  <si>
    <t>8.0252 d</t>
  </si>
  <si>
    <t>0.364, 0.637, 0.284</t>
  </si>
  <si>
    <t>Xe-131 (STABLE)</t>
  </si>
  <si>
    <t>Thyroid ablation therapy; fission product; single-step decay</t>
  </si>
  <si>
    <t>0.035 (Te X-rays)</t>
  </si>
  <si>
    <t>Te-125 (STABLE)</t>
  </si>
  <si>
    <t>Brachytherapy seeds; RIA assays; low-energy γ</t>
  </si>
  <si>
    <t>β⁻ / EC</t>
  </si>
  <si>
    <t>95.24% β⁻</t>
  </si>
  <si>
    <t>0.296, 0.308, 0.317, 0.468, 0.604</t>
  </si>
  <si>
    <t>Pt-192 (4.76% EC) / Os-192 (95.24% β⁻)</t>
  </si>
  <si>
    <t>HDR brachytherapy; industrial radiography; both daughters stable</t>
  </si>
  <si>
    <t>Platinum-192</t>
  </si>
  <si>
    <t>Pt-192</t>
  </si>
  <si>
    <t>★ Stable (EC branch)</t>
  </si>
  <si>
    <t>Osmium-192</t>
  </si>
  <si>
    <t>Os-192</t>
  </si>
  <si>
    <t>★ Stable (β⁻ branch)</t>
  </si>
  <si>
    <t>FISSION &amp; ACTIVATION PRODUCTS</t>
  </si>
  <si>
    <t>Key reactor, environmental, and industrial isotopes</t>
  </si>
  <si>
    <t>Cs-137/Ba-137m</t>
  </si>
  <si>
    <t>94.6% → Ba-137m</t>
  </si>
  <si>
    <t>— (see Ba-137m)</t>
  </si>
  <si>
    <t>Ba-137m (94.6%) / Ba-137 (5.4%)</t>
  </si>
  <si>
    <t>Major fission product; Chernobyl/Fukushima; calibration source</t>
  </si>
  <si>
    <t>Barium-137m</t>
  </si>
  <si>
    <t>Ba-137m</t>
  </si>
  <si>
    <t>2.552 min</t>
  </si>
  <si>
    <t>Ba-137 (STABLE)</t>
  </si>
  <si>
    <t>Secular equilibrium; 662 keV = calibration standard</t>
  </si>
  <si>
    <t>Sr-90/Y-90</t>
  </si>
  <si>
    <t>Y-90</t>
  </si>
  <si>
    <t>Fission product; bone seeker; environmental contaminant</t>
  </si>
  <si>
    <t>Yttrium-90</t>
  </si>
  <si>
    <t>64.00 h</t>
  </si>
  <si>
    <t>Zr-90 (STABLE)</t>
  </si>
  <si>
    <t>Secular equilibrium with Sr-90; high-energy β⁻; microsphere therapy</t>
  </si>
  <si>
    <t>5.2714 y</t>
  </si>
  <si>
    <t>1.173, 1.332</t>
  </si>
  <si>
    <t>Ni-60 (STABLE)</t>
  </si>
  <si>
    <t>Activation product (Co-59 + n); γ sterilization; teletherapy; single-step</t>
  </si>
  <si>
    <t>0.122, 0.136</t>
  </si>
  <si>
    <t>Fe-57 (STABLE)</t>
  </si>
  <si>
    <t>Mössbauer source; flood source for gamma cameras</t>
  </si>
  <si>
    <t>V-51 (STABLE)</t>
  </si>
  <si>
    <t>RBC labeling; GFR measurement; single-step decay</t>
  </si>
  <si>
    <t>Hydrogen-3 (Tritium)</t>
  </si>
  <si>
    <t>He-3 (STABLE)</t>
  </si>
  <si>
    <t>Pure β⁻; low energy; activation product (Li-6+n); EXIT signs</t>
  </si>
  <si>
    <t>N-14 (STABLE)</t>
  </si>
  <si>
    <t>Cosmogenic; radiocarbon dating; N-14(n,p)C-14</t>
  </si>
  <si>
    <t>14.263 d</t>
  </si>
  <si>
    <t>S-32 (STABLE)</t>
  </si>
  <si>
    <t>DNA labeling; high-energy β⁻ (Bremsstrahlung hazard)</t>
  </si>
  <si>
    <t>ACTINIDES &amp; ADDITIONAL ISOTOPES</t>
  </si>
  <si>
    <t>Transuranic and other significant decay chains</t>
  </si>
  <si>
    <t>Pu-239 chain</t>
  </si>
  <si>
    <t>0.052, 0.039</t>
  </si>
  <si>
    <t>Weapons/reactor fuel; → U-235 then follows U-235 series above</t>
  </si>
  <si>
    <t>→ then U-235 Series</t>
  </si>
  <si>
    <t>2+</t>
  </si>
  <si>
    <t>See rows 24–35 (U-235 Actinium series) for remainder</t>
  </si>
  <si>
    <t>Am-241 chain</t>
  </si>
  <si>
    <t>Smoke detectors; → Np-237 then follows Np-237 series above</t>
  </si>
  <si>
    <t>→ then Np-237 Series</t>
  </si>
  <si>
    <t>See rows 52–65 (Np-237 series) for remainder</t>
  </si>
  <si>
    <t>K-40</t>
  </si>
  <si>
    <t>Potassium-40</t>
  </si>
  <si>
    <t>1.248 × 10⁹ y</t>
  </si>
  <si>
    <t>89.28% β⁻</t>
  </si>
  <si>
    <t>1.461 (EC branch)</t>
  </si>
  <si>
    <t>Ca-40 (89.28%) / Ar-40 (10.72%)</t>
  </si>
  <si>
    <t>Primordial; main natural body radioactivity (~4400 Bq/person); both daughters stable</t>
  </si>
  <si>
    <t>Rn-222 progeny</t>
  </si>
  <si>
    <t>★ Short-lived progeny cause lung dose; see U-238 rows 13–21</t>
  </si>
  <si>
    <t>Xe-133</t>
  </si>
  <si>
    <t>Xenon-133</t>
  </si>
  <si>
    <t>5.243 d</t>
  </si>
  <si>
    <t>Cs-133 (STABLE)</t>
  </si>
  <si>
    <t>Fission product; lung ventilation imaging; atmospheric tracer</t>
  </si>
  <si>
    <t>Fe-55</t>
  </si>
  <si>
    <t>Iron-55</t>
  </si>
  <si>
    <t>2.737 y</t>
  </si>
  <si>
    <t>0.006 (Mn X-rays)</t>
  </si>
  <si>
    <t>Mn-55 (STABLE)</t>
  </si>
  <si>
    <t>Reactor structural activation; low-level waste</t>
  </si>
  <si>
    <t>Ni-63</t>
  </si>
  <si>
    <t>Nickel-63</t>
  </si>
  <si>
    <t>101.2 y</t>
  </si>
  <si>
    <t>Cu-63 (STABLE)</t>
  </si>
  <si>
    <t>Reactor structural activation (Ni-62 + n); ECD detectors</t>
  </si>
  <si>
    <t>Mn-54</t>
  </si>
  <si>
    <t>Manganese-54</t>
  </si>
  <si>
    <t>312.3 d</t>
  </si>
  <si>
    <t>Cr-54 (STABLE)</t>
  </si>
  <si>
    <t>Reactor coolant activation; calibration source</t>
  </si>
  <si>
    <t>Zn-65</t>
  </si>
  <si>
    <t>Zinc-65</t>
  </si>
  <si>
    <t>243.93 d</t>
  </si>
  <si>
    <t>EC / β⁺</t>
  </si>
  <si>
    <t>98.54% EC</t>
  </si>
  <si>
    <t>0.325 (β⁺)</t>
  </si>
  <si>
    <t>Cu-65 (STABLE)</t>
  </si>
  <si>
    <t>Activation product (Zn-64 + n); nutritional tracer</t>
  </si>
  <si>
    <t>I-129</t>
  </si>
  <si>
    <t>Iodine-129</t>
  </si>
  <si>
    <t>1.57 × 10⁷ y</t>
  </si>
  <si>
    <t>Xe-129 (STABLE)</t>
  </si>
  <si>
    <t>Long-lived fission product; nuclear waste concern; single-step</t>
  </si>
  <si>
    <t>Tc-99 (long)</t>
  </si>
  <si>
    <t>Long-lived fission product; groundwater tracer; waste repository concern</t>
  </si>
  <si>
    <t>LEGEND &amp; NOTES</t>
  </si>
  <si>
    <t>α = Alpha decay (emits He-4 nucleus, Z decreases by 2, A decreases by 4)</t>
  </si>
  <si>
    <t>β⁻ = Beta-minus decay (neutron → proton + electron + antineutrino, Z increases by 1)</t>
  </si>
  <si>
    <t>β⁺ = Beta-plus/Positron emission (proton → neutron + positron + neutrino, Z decreases by 1)</t>
  </si>
  <si>
    <t>EC = Electron capture (proton + electron → neutron + neutrino, Z decreases by 1)</t>
  </si>
  <si>
    <t>IT = Isomeric transition (metastable state → ground state via γ emission, no change in Z or A)</t>
  </si>
  <si>
    <t>SF = Spontaneous fission (nucleus splits into two lighter fragments)</t>
  </si>
  <si>
    <t>★ = Indicates stable end product of chain</t>
  </si>
  <si>
    <t>Eα/Eβ = Principal alpha or beta particle kinetic energy (MeV)</t>
  </si>
  <si>
    <t>Eγ = Principal gamma-ray energies (MeV); multiple values listed where significant</t>
  </si>
  <si>
    <t>Data Sources:</t>
  </si>
  <si>
    <t>ICRP Publication 107 (Nuclear Decay Data for Dosimetric Calculations), 2008</t>
  </si>
  <si>
    <t>NNDC/Brookhaven National Laboratory Nuclear Data Center (NuDat 3.0)</t>
  </si>
  <si>
    <t>KAERI Table of Nuclides</t>
  </si>
  <si>
    <t>Evaluated Nuclear Structure Data File (ENSDF)</t>
  </si>
  <si>
    <t>Section Color Key:</t>
  </si>
  <si>
    <t>Blue headers = Natural decay chains (U-238, U-235, Th-232, Np-237)</t>
  </si>
  <si>
    <t>Green headers = Medical/diagnostic isotopes</t>
  </si>
  <si>
    <t>Pink headers = Fission products &amp; activation products</t>
  </si>
  <si>
    <t>Orange headers = Actinides &amp; additional isotopes</t>
  </si>
  <si>
    <t>Green row shading = Stable end product of chain</t>
  </si>
  <si>
    <t>User requested a comprehensive decay chain reference table covering all 4 natural series plus medical/industrial/reactor isotopes.</t>
  </si>
  <si>
    <t>Created new 'Decay Chains' sheet with 14 columns and ~128 rows of nuclear decay chain data.</t>
  </si>
  <si>
    <t>Built 4 natural chains: U-238 (15 nuclides→Pb-206), U-235 (12→Pb-207), Th-232 (12→Pb-208), Np-237 (14→Tl-205). Added medical isotopes (Mo-99/Tc-99m, F-18, Ga-67, Tl-201, I-131, I-125, Ir-192), fission/activation products (Cs-137, Sr-90, Co-60, Co-57, Cr-51, H-3, C-14, P-32), actinides (Pu-239→U-235 series, Am-241→Np-237 series), plus K-40, Rn-222, Xe-133, Fe-55, Ni-63, Mn-54, Zn-65, I-129, Tc-99. Color-coded sections, legend, and data source citations included.</t>
  </si>
  <si>
    <t>Comprehensive decay chain reference table complete in 'Decay Chains' sheet (A1:N152). Includes all branch points, energies, half-lives, and cross-references between chains.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</si>
</sst>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43" x14ac:knownFonts="1">
    <font>
      <sz val="11"/>
      <color theme="1"/>
      <name val="Calibri"/>
      <family val="2"/>
      <scheme val="minor"/>
    </font>
    <font>
      <b/>
      <sz val="18"/>
      <color rgb="FF1F3864"/>
      <name val="Calibri"/>
    </font>
    <font>
      <i/>
      <sz val="11"/>
      <color rgb="FF2E75B6"/>
      <name val="Calibri"/>
    </font>
    <font>
      <sz val="9"/>
      <color rgb="FF7F7F7F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u/>
      <sz val="10"/>
      <color rgb="FF0000FF"/>
      <name val="Calibri"/>
    </font>
    <font>
      <b/>
      <sz val="11"/>
      <color rgb="FF1F3864"/>
      <name val="Calibri"/>
    </font>
    <font>
      <b/>
      <sz val="14"/>
      <color rgb="FF1F3864"/>
      <name val="Calibri"/>
    </font>
    <font>
      <i/>
      <sz val="10"/>
      <color rgb="FF595959"/>
      <name val="Calibri"/>
    </font>
    <font>
      <b/>
      <sz val="10"/>
      <color rgb="FFC00000"/>
      <name val="Calibri"/>
    </font>
    <font>
      <b/>
      <sz val="10"/>
      <color rgb="FF1F3864"/>
      <name val="Courier New"/>
    </font>
    <font>
      <sz val="9"/>
      <color rgb="FF1F3864"/>
      <name val="Courier New"/>
    </font>
    <font>
      <b/>
      <sz val="9"/>
      <color rgb="FF1F3864"/>
      <name val="Courier New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</font>
    <font>
      <b/>
      <sz val="14"/>
      <color rgb="FFFFFFFF"/>
      <name val="Calibri"/>
      <family val="2"/>
      <scheme val="minor"/>
    </font>
    <font>
      <sz val="9"/>
      <color rgb="FF666666"/>
      <name val="Calibri"/>
      <family val="2"/>
      <scheme val="minor"/>
    </font>
    <font>
      <i/>
      <sz val="9"/>
      <color rgb="FF666666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0000FF"/>
      <name val="Calibri"/>
    </font>
    <font>
      <b/>
      <sz val="9"/>
      <color rgb="FF666666"/>
      <name val="Calibri"/>
    </font>
    <font>
      <b/>
      <sz val="11"/>
      <name val="Calibri"/>
    </font>
    <font>
      <b/>
      <sz val="10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i/>
      <sz val="9"/>
      <color rgb="FF666666"/>
      <name val="Calibri"/>
    </font>
    <font>
      <b/>
      <i/>
      <sz val="9"/>
      <color rgb="FF666666"/>
      <name val="Calibri"/>
      <family val="2"/>
      <scheme val="minor"/>
    </font>
    <font>
      <u/>
      <sz val="10"/>
      <color rgb="FF0000FF"/>
      <name val="Calibri"/>
      <family val="2"/>
      <scheme val="minor"/>
    </font>
    <font>
      <sz val="11"/>
      <color rgb="FF1F4E79"/>
      <name val="Calibri"/>
      <family val="2"/>
      <scheme val="minor"/>
    </font>
    <font>
      <b/>
      <sz val="13"/>
      <color rgb="FF1F4E79"/>
      <name val="Calibri"/>
      <family val="2"/>
      <scheme val="minor"/>
    </font>
    <font>
      <i/>
      <sz val="9"/>
      <color rgb="FF4472C4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  <font>
      <i/>
      <sz val="11"/>
      <color rgb="FF4472C4"/>
      <name val="Calibri"/>
      <family val="2"/>
      <scheme val="minor"/>
    </font>
    <font>
      <sz val="11"/>
      <color rgb="FF2E7D32"/>
      <name val="Calibri"/>
      <family val="2"/>
      <scheme val="minor"/>
    </font>
    <font>
      <b/>
      <sz val="11"/>
      <color rgb="FF2E7D32"/>
      <name val="Calibri"/>
      <family val="2"/>
      <scheme val="minor"/>
    </font>
    <font>
      <sz val="11"/>
      <color rgb="FFC62828"/>
      <name val="Calibri"/>
      <family val="2"/>
      <scheme val="minor"/>
    </font>
    <font>
      <sz val="11"/>
      <color rgb="FFE651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2E75B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509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AF2E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2F7ED"/>
        <bgColor indexed="64"/>
      </patternFill>
    </fill>
  </fills>
  <borders count="35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/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/>
      <diagonal/>
    </border>
    <border>
      <left style="thin">
        <color rgb="FFB8CCE4"/>
      </left>
      <right style="thin">
        <color rgb="FFB8CCE4"/>
      </right>
      <top/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medium">
        <color rgb="FF1F3864"/>
      </top>
      <bottom style="thin">
        <color rgb="FFB8CCE4"/>
      </bottom>
      <diagonal/>
    </border>
    <border>
      <left style="thin">
        <color rgb="FF1F386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1F3864"/>
      </right>
      <top style="thin">
        <color rgb="FFB8CCE4"/>
      </top>
      <bottom style="thin">
        <color rgb="FFB8CCE4"/>
      </bottom>
      <diagonal/>
    </border>
    <border>
      <left style="thin">
        <color rgb="FF1F3864"/>
      </left>
      <right style="thin">
        <color rgb="FFB8CCE4"/>
      </right>
      <top style="thin">
        <color rgb="FFB8CCE4"/>
      </top>
      <bottom style="medium">
        <color rgb="FF1F386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medium">
        <color rgb="FF1F3864"/>
      </bottom>
      <diagonal/>
    </border>
    <border>
      <left style="thin">
        <color rgb="FFB8CCE4"/>
      </left>
      <right style="thin">
        <color rgb="FF1F3864"/>
      </right>
      <top style="thin">
        <color rgb="FFB8CCE4"/>
      </top>
      <bottom style="medium">
        <color rgb="FF1F3864"/>
      </bottom>
      <diagonal/>
    </border>
    <border>
      <left style="thin">
        <color rgb="FF1F3864"/>
      </left>
      <right style="thin">
        <color rgb="FFB8CCE4"/>
      </right>
      <top style="medium">
        <color rgb="FF1F3864"/>
      </top>
      <bottom style="thin">
        <color rgb="FFB8CCE4"/>
      </bottom>
      <diagonal/>
    </border>
    <border>
      <left style="thin">
        <color rgb="FFB8CCE4"/>
      </left>
      <right style="thin">
        <color rgb="FF1F3864"/>
      </right>
      <top style="medium">
        <color rgb="FF1F386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medium">
        <color rgb="FF2E5090"/>
      </top>
      <bottom style="medium">
        <color rgb="FF2E5090"/>
      </bottom>
      <diagonal/>
    </border>
    <border>
      <left style="thin">
        <color rgb="FFB8CCE4"/>
      </left>
      <right style="thin">
        <color rgb="FFB8CCE4"/>
      </right>
      <top style="medium">
        <color rgb="FF2E5090"/>
      </top>
      <bottom/>
      <diagonal/>
    </border>
    <border>
      <left style="thin">
        <color rgb="FFB8CCE4"/>
      </left>
      <right style="thin">
        <color rgb="FFB8CCE4"/>
      </right>
      <top/>
      <bottom/>
      <diagonal/>
    </border>
    <border>
      <left/>
      <right/>
      <top style="medium">
        <color rgb="FF2E5090"/>
      </top>
      <bottom style="medium">
        <color rgb="FF2E5090"/>
      </bottom>
      <diagonal/>
    </border>
    <border>
      <left/>
      <right/>
      <top style="medium">
        <color rgb="FF2E5090"/>
      </top>
      <bottom/>
      <diagonal/>
    </border>
    <border>
      <left style="thin">
        <color rgb="FFB8CCE4"/>
      </left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/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/>
      <bottom style="medium">
        <color rgb="FF1F4E79"/>
      </bottom>
      <diagonal/>
    </border>
    <border>
      <left style="thin">
        <color rgb="FFD9D9D9"/>
      </left>
      <right/>
      <top/>
      <bottom style="medium">
        <color rgb="FF1F4E79"/>
      </bottom>
      <diagonal/>
    </border>
  </borders>
  <cellStyleXfs count="1">
    <xf numFmtId="0" fontId="0" fillId="0" borderId="0"/>
  </cellStyleXfs>
  <cellXfs count="212">
    <xf numFmtId="0" fontId="0" fillId="0" borderId="0" xfId="0"/>
    <xf numFmtId="0" fontId="0" fillId="2" borderId="0" xfId="0" applyFill="1"/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 indent="1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 indent="1"/>
    </xf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4" borderId="2" xfId="0" applyFill="1" applyBorder="1"/>
    <xf numFmtId="0" fontId="11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 indent="1"/>
    </xf>
    <xf numFmtId="0" fontId="5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left" vertical="center" wrapText="1" indent="1"/>
    </xf>
    <xf numFmtId="0" fontId="12" fillId="6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 wrapText="1" indent="1"/>
    </xf>
    <xf numFmtId="0" fontId="5" fillId="7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 indent="1"/>
    </xf>
    <xf numFmtId="0" fontId="13" fillId="4" borderId="2" xfId="0" applyFont="1" applyFill="1" applyBorder="1" applyAlignment="1">
      <alignment horizontal="left" vertical="center" wrapText="1" indent="1"/>
    </xf>
    <xf numFmtId="0" fontId="6" fillId="5" borderId="2" xfId="0" applyFont="1" applyFill="1" applyBorder="1" applyAlignment="1">
      <alignment horizontal="left" vertical="center" indent="1"/>
    </xf>
    <xf numFmtId="0" fontId="13" fillId="5" borderId="2" xfId="0" applyFont="1" applyFill="1" applyBorder="1" applyAlignment="1">
      <alignment horizontal="left" vertical="center" wrapText="1" indent="1"/>
    </xf>
    <xf numFmtId="0" fontId="6" fillId="6" borderId="2" xfId="0" applyFont="1" applyFill="1" applyBorder="1" applyAlignment="1">
      <alignment horizontal="left" vertical="center" wrapText="1" indent="1"/>
    </xf>
    <xf numFmtId="0" fontId="14" fillId="6" borderId="2" xfId="0" applyFont="1" applyFill="1" applyBorder="1" applyAlignment="1">
      <alignment horizontal="left" vertical="center" wrapText="1" indent="1"/>
    </xf>
    <xf numFmtId="0" fontId="11" fillId="5" borderId="2" xfId="0" applyFont="1" applyFill="1" applyBorder="1" applyAlignment="1">
      <alignment horizontal="left" vertical="center" wrapText="1" indent="1"/>
    </xf>
    <xf numFmtId="0" fontId="6" fillId="4" borderId="2" xfId="0" applyFont="1" applyFill="1" applyBorder="1" applyAlignment="1">
      <alignment horizontal="left" vertical="center" wrapText="1" indent="1"/>
    </xf>
    <xf numFmtId="0" fontId="11" fillId="7" borderId="2" xfId="0" applyFont="1" applyFill="1" applyBorder="1" applyAlignment="1">
      <alignment horizontal="left" vertical="center" wrapText="1" indent="1"/>
    </xf>
    <xf numFmtId="0" fontId="7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 wrapText="1" indent="1"/>
    </xf>
    <xf numFmtId="0" fontId="6" fillId="8" borderId="2" xfId="0" applyFont="1" applyFill="1" applyBorder="1" applyAlignment="1">
      <alignment horizontal="left" vertical="center" wrapText="1" indent="1"/>
    </xf>
    <xf numFmtId="0" fontId="5" fillId="8" borderId="2" xfId="0" applyFont="1" applyFill="1" applyBorder="1" applyAlignment="1">
      <alignment horizontal="left" vertical="center" wrapText="1" indent="1"/>
    </xf>
    <xf numFmtId="0" fontId="5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5" fillId="0" borderId="2" xfId="0" applyFont="1" applyBorder="1" applyAlignment="1">
      <alignment horizontal="left" vertical="center" wrapText="1" indent="1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5" fillId="0" borderId="0" xfId="0" applyFont="1"/>
    <xf numFmtId="0" fontId="16" fillId="9" borderId="0" xfId="0" applyFont="1" applyFill="1"/>
    <xf numFmtId="14" fontId="0" fillId="0" borderId="0" xfId="0" applyNumberFormat="1"/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0" fontId="6" fillId="5" borderId="0" xfId="0" applyFont="1" applyFill="1" applyBorder="1" applyAlignment="1">
      <alignment horizontal="left" vertical="center" wrapText="1" indent="1"/>
    </xf>
    <xf numFmtId="0" fontId="6" fillId="5" borderId="0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 wrapText="1" indent="1"/>
    </xf>
    <xf numFmtId="0" fontId="6" fillId="5" borderId="3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left" vertical="center" wrapText="1" indent="1"/>
    </xf>
    <xf numFmtId="0" fontId="6" fillId="12" borderId="2" xfId="0" applyFont="1" applyFill="1" applyBorder="1" applyAlignment="1">
      <alignment horizontal="left" vertical="center" wrapText="1" indent="1"/>
    </xf>
    <xf numFmtId="0" fontId="6" fillId="10" borderId="2" xfId="0" applyFont="1" applyFill="1" applyBorder="1" applyAlignment="1">
      <alignment horizontal="left" vertical="center" wrapText="1" indent="1"/>
    </xf>
    <xf numFmtId="0" fontId="4" fillId="3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left" vertical="center" wrapText="1" indent="1"/>
    </xf>
    <xf numFmtId="0" fontId="5" fillId="5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17" fillId="11" borderId="9" xfId="0" applyFont="1" applyFill="1" applyBorder="1" applyAlignment="1">
      <alignment horizontal="center" vertical="center"/>
    </xf>
    <xf numFmtId="0" fontId="17" fillId="12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17" fillId="11" borderId="9" xfId="0" applyFont="1" applyFill="1" applyBorder="1" applyAlignment="1">
      <alignment horizontal="left" vertical="center"/>
    </xf>
    <xf numFmtId="0" fontId="17" fillId="12" borderId="2" xfId="0" applyFont="1" applyFill="1" applyBorder="1" applyAlignment="1">
      <alignment horizontal="left" vertical="center"/>
    </xf>
    <xf numFmtId="0" fontId="17" fillId="11" borderId="2" xfId="0" applyFont="1" applyFill="1" applyBorder="1" applyAlignment="1">
      <alignment horizontal="left" vertical="center"/>
    </xf>
    <xf numFmtId="0" fontId="17" fillId="11" borderId="9" xfId="0" applyFont="1" applyFill="1" applyBorder="1" applyAlignment="1">
      <alignment horizontal="left" vertical="center" wrapText="1"/>
    </xf>
    <xf numFmtId="0" fontId="17" fillId="12" borderId="2" xfId="0" applyFont="1" applyFill="1" applyBorder="1" applyAlignment="1">
      <alignment horizontal="left" vertical="center" wrapText="1"/>
    </xf>
    <xf numFmtId="0" fontId="17" fillId="11" borderId="2" xfId="0" applyFont="1" applyFill="1" applyBorder="1" applyAlignment="1">
      <alignment horizontal="left" vertical="center" wrapText="1"/>
    </xf>
    <xf numFmtId="0" fontId="19" fillId="0" borderId="0" xfId="0" applyFont="1"/>
    <xf numFmtId="0" fontId="20" fillId="0" borderId="0" xfId="0" applyFont="1"/>
    <xf numFmtId="0" fontId="18" fillId="13" borderId="0" xfId="0" applyFont="1" applyFill="1"/>
    <xf numFmtId="0" fontId="20" fillId="0" borderId="0" xfId="0" applyFont="1"/>
    <xf numFmtId="0" fontId="21" fillId="11" borderId="2" xfId="0" applyFont="1" applyFill="1" applyBorder="1" applyAlignment="1">
      <alignment horizontal="center"/>
    </xf>
    <xf numFmtId="11" fontId="21" fillId="11" borderId="2" xfId="0" applyNumberFormat="1" applyFont="1" applyFill="1" applyBorder="1" applyAlignment="1">
      <alignment horizontal="center"/>
    </xf>
    <xf numFmtId="0" fontId="21" fillId="11" borderId="2" xfId="0" applyFont="1" applyFill="1" applyBorder="1"/>
    <xf numFmtId="4" fontId="21" fillId="11" borderId="2" xfId="0" applyNumberFormat="1" applyFont="1" applyFill="1" applyBorder="1" applyAlignment="1">
      <alignment horizontal="center"/>
    </xf>
    <xf numFmtId="0" fontId="21" fillId="12" borderId="2" xfId="0" applyFont="1" applyFill="1" applyBorder="1" applyAlignment="1">
      <alignment horizontal="center"/>
    </xf>
    <xf numFmtId="11" fontId="21" fillId="12" borderId="2" xfId="0" applyNumberFormat="1" applyFont="1" applyFill="1" applyBorder="1" applyAlignment="1">
      <alignment horizontal="center"/>
    </xf>
    <xf numFmtId="0" fontId="21" fillId="12" borderId="2" xfId="0" applyFont="1" applyFill="1" applyBorder="1"/>
    <xf numFmtId="4" fontId="21" fillId="12" borderId="2" xfId="0" applyNumberFormat="1" applyFont="1" applyFill="1" applyBorder="1" applyAlignment="1">
      <alignment horizontal="center"/>
    </xf>
    <xf numFmtId="0" fontId="21" fillId="11" borderId="10" xfId="0" applyFont="1" applyFill="1" applyBorder="1"/>
    <xf numFmtId="0" fontId="21" fillId="12" borderId="10" xfId="0" applyFont="1" applyFill="1" applyBorder="1"/>
    <xf numFmtId="11" fontId="21" fillId="11" borderId="11" xfId="0" applyNumberFormat="1" applyFont="1" applyFill="1" applyBorder="1" applyAlignment="1">
      <alignment horizontal="center"/>
    </xf>
    <xf numFmtId="11" fontId="21" fillId="12" borderId="11" xfId="0" applyNumberFormat="1" applyFont="1" applyFill="1" applyBorder="1" applyAlignment="1">
      <alignment horizontal="center"/>
    </xf>
    <xf numFmtId="0" fontId="21" fillId="12" borderId="12" xfId="0" applyFont="1" applyFill="1" applyBorder="1"/>
    <xf numFmtId="0" fontId="21" fillId="12" borderId="13" xfId="0" applyFont="1" applyFill="1" applyBorder="1" applyAlignment="1">
      <alignment horizontal="center"/>
    </xf>
    <xf numFmtId="11" fontId="21" fillId="12" borderId="13" xfId="0" applyNumberFormat="1" applyFont="1" applyFill="1" applyBorder="1" applyAlignment="1">
      <alignment horizontal="center"/>
    </xf>
    <xf numFmtId="0" fontId="21" fillId="12" borderId="13" xfId="0" applyFont="1" applyFill="1" applyBorder="1"/>
    <xf numFmtId="4" fontId="21" fillId="12" borderId="13" xfId="0" applyNumberFormat="1" applyFont="1" applyFill="1" applyBorder="1" applyAlignment="1">
      <alignment horizontal="center"/>
    </xf>
    <xf numFmtId="11" fontId="21" fillId="12" borderId="14" xfId="0" applyNumberFormat="1" applyFont="1" applyFill="1" applyBorder="1" applyAlignment="1">
      <alignment horizontal="center"/>
    </xf>
    <xf numFmtId="0" fontId="16" fillId="14" borderId="15" xfId="0" applyFont="1" applyFill="1" applyBorder="1" applyAlignment="1">
      <alignment horizontal="center"/>
    </xf>
    <xf numFmtId="0" fontId="16" fillId="14" borderId="9" xfId="0" applyFont="1" applyFill="1" applyBorder="1" applyAlignment="1">
      <alignment horizontal="center"/>
    </xf>
    <xf numFmtId="0" fontId="16" fillId="14" borderId="16" xfId="0" applyFont="1" applyFill="1" applyBorder="1" applyAlignment="1">
      <alignment horizontal="center"/>
    </xf>
    <xf numFmtId="0" fontId="22" fillId="13" borderId="0" xfId="0" applyFont="1" applyFill="1" applyAlignment="1">
      <alignment horizontal="left"/>
    </xf>
    <xf numFmtId="0" fontId="6" fillId="0" borderId="5" xfId="0" applyFont="1" applyBorder="1" applyAlignment="1">
      <alignment horizontal="left" vertical="center" wrapText="1" indent="1"/>
    </xf>
    <xf numFmtId="0" fontId="24" fillId="0" borderId="4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left" vertical="center" wrapText="1" indent="1"/>
    </xf>
    <xf numFmtId="0" fontId="23" fillId="15" borderId="3" xfId="0" applyFont="1" applyFill="1" applyBorder="1" applyAlignment="1">
      <alignment horizontal="center" vertical="center"/>
    </xf>
    <xf numFmtId="0" fontId="23" fillId="15" borderId="17" xfId="0" applyFont="1" applyFill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0" fontId="23" fillId="15" borderId="18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left" vertical="center" wrapText="1" indent="1"/>
    </xf>
    <xf numFmtId="0" fontId="5" fillId="4" borderId="19" xfId="0" applyFont="1" applyFill="1" applyBorder="1" applyAlignment="1">
      <alignment horizontal="center" vertical="center"/>
    </xf>
    <xf numFmtId="0" fontId="24" fillId="7" borderId="4" xfId="0" applyFont="1" applyFill="1" applyBorder="1" applyAlignment="1">
      <alignment horizontal="center" vertical="center"/>
    </xf>
    <xf numFmtId="0" fontId="26" fillId="0" borderId="0" xfId="0" applyFont="1"/>
    <xf numFmtId="0" fontId="15" fillId="10" borderId="20" xfId="0" applyFont="1" applyFill="1" applyBorder="1"/>
    <xf numFmtId="0" fontId="27" fillId="15" borderId="0" xfId="0" applyFont="1" applyFill="1" applyBorder="1"/>
    <xf numFmtId="0" fontId="27" fillId="15" borderId="20" xfId="0" applyFont="1" applyFill="1" applyBorder="1"/>
    <xf numFmtId="0" fontId="27" fillId="15" borderId="21" xfId="0" applyFont="1" applyFill="1" applyBorder="1"/>
    <xf numFmtId="0" fontId="15" fillId="10" borderId="0" xfId="0" applyFont="1" applyFill="1" applyBorder="1"/>
    <xf numFmtId="2" fontId="25" fillId="10" borderId="3" xfId="0" applyNumberFormat="1" applyFont="1" applyFill="1" applyBorder="1" applyAlignment="1">
      <alignment horizontal="center" vertical="center"/>
    </xf>
    <xf numFmtId="164" fontId="15" fillId="10" borderId="21" xfId="0" applyNumberFormat="1" applyFont="1" applyFill="1" applyBorder="1"/>
    <xf numFmtId="165" fontId="15" fillId="10" borderId="20" xfId="0" applyNumberFormat="1" applyFont="1" applyFill="1" applyBorder="1"/>
    <xf numFmtId="164" fontId="15" fillId="10" borderId="0" xfId="0" applyNumberFormat="1" applyFont="1" applyFill="1" applyBorder="1"/>
    <xf numFmtId="11" fontId="15" fillId="10" borderId="21" xfId="0" applyNumberFormat="1" applyFont="1" applyFill="1" applyBorder="1"/>
    <xf numFmtId="165" fontId="15" fillId="10" borderId="21" xfId="0" applyNumberFormat="1" applyFont="1" applyFill="1" applyBorder="1"/>
    <xf numFmtId="2" fontId="15" fillId="10" borderId="20" xfId="0" applyNumberFormat="1" applyFont="1" applyFill="1" applyBorder="1"/>
    <xf numFmtId="2" fontId="15" fillId="10" borderId="0" xfId="0" applyNumberFormat="1" applyFont="1" applyFill="1" applyBorder="1"/>
    <xf numFmtId="2" fontId="15" fillId="10" borderId="21" xfId="0" applyNumberFormat="1" applyFont="1" applyFill="1" applyBorder="1"/>
    <xf numFmtId="166" fontId="15" fillId="10" borderId="20" xfId="0" applyNumberFormat="1" applyFont="1" applyFill="1" applyBorder="1"/>
    <xf numFmtId="3" fontId="15" fillId="10" borderId="0" xfId="0" applyNumberFormat="1" applyFont="1" applyFill="1" applyBorder="1"/>
    <xf numFmtId="3" fontId="15" fillId="10" borderId="21" xfId="0" applyNumberFormat="1" applyFont="1" applyFill="1" applyBorder="1"/>
    <xf numFmtId="0" fontId="30" fillId="4" borderId="22" xfId="0" applyFont="1" applyFill="1" applyBorder="1" applyAlignment="1">
      <alignment horizontal="left" vertical="center" wrapText="1" indent="1"/>
    </xf>
    <xf numFmtId="0" fontId="30" fillId="4" borderId="0" xfId="0" applyFont="1" applyFill="1" applyBorder="1" applyAlignment="1">
      <alignment horizontal="left" vertical="center" wrapText="1" indent="1"/>
    </xf>
    <xf numFmtId="0" fontId="20" fillId="0" borderId="0" xfId="0" applyFont="1" applyAlignment="1">
      <alignment wrapText="1"/>
    </xf>
    <xf numFmtId="0" fontId="31" fillId="0" borderId="0" xfId="0" applyFont="1" applyFill="1" applyBorder="1" applyAlignment="1">
      <alignment wrapText="1"/>
    </xf>
    <xf numFmtId="0" fontId="5" fillId="0" borderId="3" xfId="0" applyFont="1" applyBorder="1" applyAlignment="1">
      <alignment horizontal="center" vertical="center"/>
    </xf>
    <xf numFmtId="0" fontId="21" fillId="12" borderId="5" xfId="0" applyFont="1" applyFill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32" fillId="12" borderId="5" xfId="0" applyFont="1" applyFill="1" applyBorder="1" applyAlignment="1">
      <alignment horizontal="center"/>
    </xf>
    <xf numFmtId="0" fontId="5" fillId="0" borderId="3" xfId="0" applyFont="1" applyBorder="1" applyAlignment="1">
      <alignment horizontal="left" vertical="center" wrapText="1" indent="1"/>
    </xf>
    <xf numFmtId="0" fontId="5" fillId="12" borderId="2" xfId="0" applyFont="1" applyFill="1" applyBorder="1" applyAlignment="1">
      <alignment horizontal="left" vertical="center" wrapText="1" indent="1"/>
    </xf>
    <xf numFmtId="0" fontId="5" fillId="12" borderId="5" xfId="0" applyFont="1" applyFill="1" applyBorder="1" applyAlignment="1">
      <alignment horizontal="left" vertical="center" wrapText="1" indent="1"/>
    </xf>
    <xf numFmtId="0" fontId="21" fillId="0" borderId="2" xfId="0" applyFont="1" applyBorder="1"/>
    <xf numFmtId="0" fontId="0" fillId="16" borderId="6" xfId="0" applyFill="1" applyBorder="1"/>
    <xf numFmtId="0" fontId="0" fillId="17" borderId="5" xfId="0" applyFill="1" applyBorder="1"/>
    <xf numFmtId="0" fontId="21" fillId="0" borderId="3" xfId="0" applyFont="1" applyBorder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33" fillId="0" borderId="0" xfId="0" applyFont="1"/>
    <xf numFmtId="0" fontId="34" fillId="0" borderId="0" xfId="0" applyFont="1"/>
    <xf numFmtId="0" fontId="35" fillId="0" borderId="0" xfId="0" applyFont="1"/>
    <xf numFmtId="0" fontId="39" fillId="0" borderId="0" xfId="0" applyFont="1"/>
    <xf numFmtId="0" fontId="37" fillId="18" borderId="0" xfId="0" applyFont="1" applyFill="1"/>
    <xf numFmtId="0" fontId="0" fillId="18" borderId="0" xfId="0" applyFill="1"/>
    <xf numFmtId="0" fontId="0" fillId="0" borderId="0" xfId="0" applyAlignment="1">
      <alignment horizontal="center"/>
    </xf>
    <xf numFmtId="0" fontId="0" fillId="18" borderId="0" xfId="0" applyFill="1" applyAlignment="1">
      <alignment horizontal="center"/>
    </xf>
    <xf numFmtId="0" fontId="0" fillId="0" borderId="0" xfId="0" applyAlignment="1">
      <alignment horizontal="right"/>
    </xf>
    <xf numFmtId="0" fontId="37" fillId="11" borderId="26" xfId="0" applyFont="1" applyFill="1" applyBorder="1"/>
    <xf numFmtId="0" fontId="0" fillId="11" borderId="27" xfId="0" applyFill="1" applyBorder="1"/>
    <xf numFmtId="0" fontId="0" fillId="11" borderId="27" xfId="0" applyFill="1" applyBorder="1" applyAlignment="1">
      <alignment horizontal="center"/>
    </xf>
    <xf numFmtId="0" fontId="0" fillId="11" borderId="27" xfId="0" applyFill="1" applyBorder="1" applyAlignment="1">
      <alignment horizontal="right"/>
    </xf>
    <xf numFmtId="0" fontId="0" fillId="0" borderId="26" xfId="0" applyBorder="1"/>
    <xf numFmtId="0" fontId="0" fillId="0" borderId="27" xfId="0" applyBorder="1"/>
    <xf numFmtId="0" fontId="0" fillId="0" borderId="27" xfId="0" applyBorder="1" applyAlignment="1">
      <alignment horizontal="center"/>
    </xf>
    <xf numFmtId="9" fontId="0" fillId="0" borderId="27" xfId="0" applyNumberFormat="1" applyBorder="1" applyAlignment="1">
      <alignment horizontal="center"/>
    </xf>
    <xf numFmtId="0" fontId="0" fillId="0" borderId="27" xfId="0" applyBorder="1" applyAlignment="1">
      <alignment horizontal="right"/>
    </xf>
    <xf numFmtId="10" fontId="0" fillId="0" borderId="27" xfId="0" applyNumberFormat="1" applyBorder="1" applyAlignment="1">
      <alignment horizontal="center"/>
    </xf>
    <xf numFmtId="0" fontId="37" fillId="18" borderId="26" xfId="0" applyFont="1" applyFill="1" applyBorder="1"/>
    <xf numFmtId="0" fontId="0" fillId="18" borderId="27" xfId="0" applyFill="1" applyBorder="1"/>
    <xf numFmtId="0" fontId="0" fillId="18" borderId="27" xfId="0" applyFill="1" applyBorder="1" applyAlignment="1">
      <alignment horizontal="center"/>
    </xf>
    <xf numFmtId="0" fontId="0" fillId="18" borderId="27" xfId="0" applyFill="1" applyBorder="1" applyAlignment="1">
      <alignment horizontal="right"/>
    </xf>
    <xf numFmtId="0" fontId="37" fillId="19" borderId="26" xfId="0" applyFont="1" applyFill="1" applyBorder="1"/>
    <xf numFmtId="0" fontId="0" fillId="19" borderId="27" xfId="0" applyFill="1" applyBorder="1"/>
    <xf numFmtId="0" fontId="0" fillId="19" borderId="27" xfId="0" applyFill="1" applyBorder="1" applyAlignment="1">
      <alignment horizontal="center"/>
    </xf>
    <xf numFmtId="0" fontId="0" fillId="19" borderId="27" xfId="0" applyFill="1" applyBorder="1" applyAlignment="1">
      <alignment horizontal="right"/>
    </xf>
    <xf numFmtId="0" fontId="37" fillId="20" borderId="26" xfId="0" applyFont="1" applyFill="1" applyBorder="1"/>
    <xf numFmtId="0" fontId="0" fillId="20" borderId="27" xfId="0" applyFill="1" applyBorder="1"/>
    <xf numFmtId="0" fontId="0" fillId="20" borderId="27" xfId="0" applyFill="1" applyBorder="1" applyAlignment="1">
      <alignment horizontal="center"/>
    </xf>
    <xf numFmtId="0" fontId="0" fillId="20" borderId="27" xfId="0" applyFill="1" applyBorder="1" applyAlignment="1">
      <alignment horizontal="right"/>
    </xf>
    <xf numFmtId="0" fontId="0" fillId="0" borderId="29" xfId="0" applyBorder="1"/>
    <xf numFmtId="0" fontId="0" fillId="0" borderId="30" xfId="0" applyBorder="1"/>
    <xf numFmtId="0" fontId="0" fillId="0" borderId="30" xfId="0" applyBorder="1" applyAlignment="1">
      <alignment horizontal="center"/>
    </xf>
    <xf numFmtId="9" fontId="0" fillId="0" borderId="30" xfId="0" applyNumberFormat="1" applyBorder="1" applyAlignment="1">
      <alignment horizontal="center"/>
    </xf>
    <xf numFmtId="0" fontId="0" fillId="0" borderId="30" xfId="0" applyBorder="1" applyAlignment="1">
      <alignment horizontal="right"/>
    </xf>
    <xf numFmtId="0" fontId="37" fillId="11" borderId="23" xfId="0" applyFont="1" applyFill="1" applyBorder="1"/>
    <xf numFmtId="0" fontId="0" fillId="11" borderId="24" xfId="0" applyFill="1" applyBorder="1"/>
    <xf numFmtId="0" fontId="0" fillId="11" borderId="24" xfId="0" applyFill="1" applyBorder="1" applyAlignment="1">
      <alignment horizontal="center"/>
    </xf>
    <xf numFmtId="0" fontId="0" fillId="11" borderId="24" xfId="0" applyFill="1" applyBorder="1" applyAlignment="1">
      <alignment horizontal="right"/>
    </xf>
    <xf numFmtId="0" fontId="36" fillId="21" borderId="32" xfId="0" applyFont="1" applyFill="1" applyBorder="1" applyAlignment="1">
      <alignment horizontal="center"/>
    </xf>
    <xf numFmtId="0" fontId="36" fillId="21" borderId="33" xfId="0" applyFont="1" applyFill="1" applyBorder="1" applyAlignment="1">
      <alignment horizontal="center"/>
    </xf>
    <xf numFmtId="0" fontId="36" fillId="21" borderId="33" xfId="0" applyFont="1" applyFill="1" applyBorder="1" applyAlignment="1">
      <alignment horizontal="right"/>
    </xf>
    <xf numFmtId="0" fontId="0" fillId="22" borderId="26" xfId="0" applyFill="1" applyBorder="1"/>
    <xf numFmtId="0" fontId="0" fillId="22" borderId="27" xfId="0" applyFill="1" applyBorder="1"/>
    <xf numFmtId="0" fontId="0" fillId="22" borderId="27" xfId="0" applyFill="1" applyBorder="1" applyAlignment="1">
      <alignment horizontal="center"/>
    </xf>
    <xf numFmtId="0" fontId="0" fillId="22" borderId="27" xfId="0" applyFill="1" applyBorder="1" applyAlignment="1">
      <alignment horizontal="right"/>
    </xf>
    <xf numFmtId="9" fontId="0" fillId="22" borderId="27" xfId="0" applyNumberFormat="1" applyFill="1" applyBorder="1" applyAlignment="1">
      <alignment horizontal="center"/>
    </xf>
    <xf numFmtId="0" fontId="36" fillId="21" borderId="34" xfId="0" applyFont="1" applyFill="1" applyBorder="1" applyAlignment="1">
      <alignment horizontal="center" wrapText="1"/>
    </xf>
    <xf numFmtId="0" fontId="38" fillId="11" borderId="25" xfId="0" applyFont="1" applyFill="1" applyBorder="1" applyAlignment="1">
      <alignment wrapText="1"/>
    </xf>
    <xf numFmtId="0" fontId="0" fillId="0" borderId="28" xfId="0" applyBorder="1" applyAlignment="1">
      <alignment wrapText="1"/>
    </xf>
    <xf numFmtId="0" fontId="40" fillId="22" borderId="28" xfId="0" applyFont="1" applyFill="1" applyBorder="1" applyAlignment="1">
      <alignment wrapText="1"/>
    </xf>
    <xf numFmtId="0" fontId="38" fillId="11" borderId="28" xfId="0" applyFont="1" applyFill="1" applyBorder="1" applyAlignment="1">
      <alignment wrapText="1"/>
    </xf>
    <xf numFmtId="0" fontId="38" fillId="18" borderId="28" xfId="0" applyFont="1" applyFill="1" applyBorder="1" applyAlignment="1">
      <alignment wrapText="1"/>
    </xf>
    <xf numFmtId="0" fontId="38" fillId="19" borderId="28" xfId="0" applyFont="1" applyFill="1" applyBorder="1" applyAlignment="1">
      <alignment wrapText="1"/>
    </xf>
    <xf numFmtId="0" fontId="0" fillId="22" borderId="28" xfId="0" applyFill="1" applyBorder="1" applyAlignment="1">
      <alignment wrapText="1"/>
    </xf>
    <xf numFmtId="0" fontId="38" fillId="20" borderId="28" xfId="0" applyFont="1" applyFill="1" applyBorder="1" applyAlignment="1">
      <alignment wrapText="1"/>
    </xf>
    <xf numFmtId="0" fontId="0" fillId="0" borderId="31" xfId="0" applyBorder="1" applyAlignment="1">
      <alignment wrapText="1"/>
    </xf>
    <xf numFmtId="0" fontId="41" fillId="0" borderId="0" xfId="0" applyFont="1"/>
    <xf numFmtId="0" fontId="4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1042303-052C-4CEE-BAA0-1F27CF59721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b0c9a8e-467c-47ae-be7f-e0af5cf3c7b4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crp.org/publication.asp?id=ICRP+Publication+68" TargetMode="External"/><Relationship Id="rId13" Type="http://schemas.openxmlformats.org/officeDocument/2006/relationships/hyperlink" Target="https://www.icrp.org/publication.asp?id=ICRP+Publication+100" TargetMode="External"/><Relationship Id="rId18" Type="http://schemas.openxmlformats.org/officeDocument/2006/relationships/hyperlink" Target="https://www.icrp.org/publication.asp?id=ICRP+Publication+118" TargetMode="External"/><Relationship Id="rId26" Type="http://schemas.openxmlformats.org/officeDocument/2006/relationships/hyperlink" Target="https://www.icrp.org/publication.asp?id=ICRP+Publication+147" TargetMode="External"/><Relationship Id="rId3" Type="http://schemas.openxmlformats.org/officeDocument/2006/relationships/hyperlink" Target="https://www.icrp.org/publication.asp?id=ICRP+Publication+38" TargetMode="External"/><Relationship Id="rId21" Type="http://schemas.openxmlformats.org/officeDocument/2006/relationships/hyperlink" Target="https://www.icrp.org/publication.asp?id=ICRP+Publication+133" TargetMode="External"/><Relationship Id="rId7" Type="http://schemas.openxmlformats.org/officeDocument/2006/relationships/hyperlink" Target="https://www.icrp.org/publication.asp?id=ICRP+Publication+66" TargetMode="External"/><Relationship Id="rId12" Type="http://schemas.openxmlformats.org/officeDocument/2006/relationships/hyperlink" Target="https://www.icrp.org/publication.asp?id=ICRP+Publication+92" TargetMode="External"/><Relationship Id="rId17" Type="http://schemas.openxmlformats.org/officeDocument/2006/relationships/hyperlink" Target="https://www.icrp.org/publication.asp?id=ICRP+Publication+116" TargetMode="External"/><Relationship Id="rId25" Type="http://schemas.openxmlformats.org/officeDocument/2006/relationships/hyperlink" Target="https://www.icrp.org/publication.asp?id=ICRP+Publication+145" TargetMode="External"/><Relationship Id="rId2" Type="http://schemas.openxmlformats.org/officeDocument/2006/relationships/hyperlink" Target="https://www.icrp.org/publication.asp?id=ICRP+Publication+30+(part+1)" TargetMode="External"/><Relationship Id="rId16" Type="http://schemas.openxmlformats.org/officeDocument/2006/relationships/hyperlink" Target="https://www.icrp.org/publication.asp?id=ICRP+Publication+110" TargetMode="External"/><Relationship Id="rId20" Type="http://schemas.openxmlformats.org/officeDocument/2006/relationships/hyperlink" Target="https://www.icrp.org/publication.asp?id=ICRP+Publication+130" TargetMode="External"/><Relationship Id="rId1" Type="http://schemas.openxmlformats.org/officeDocument/2006/relationships/hyperlink" Target="https://www.icrp.org/publication.asp?id=icrp+publication+26" TargetMode="External"/><Relationship Id="rId6" Type="http://schemas.openxmlformats.org/officeDocument/2006/relationships/hyperlink" Target="https://www.icrp.org/publication.asp?id=ICRP+Publication+60" TargetMode="External"/><Relationship Id="rId11" Type="http://schemas.openxmlformats.org/officeDocument/2006/relationships/hyperlink" Target="https://www.icrp.org/publication.asp?id=ICRP+Publication+89" TargetMode="External"/><Relationship Id="rId24" Type="http://schemas.openxmlformats.org/officeDocument/2006/relationships/hyperlink" Target="https://www.icrp.org/publication.asp?id=ICRP+Publication+144" TargetMode="External"/><Relationship Id="rId5" Type="http://schemas.openxmlformats.org/officeDocument/2006/relationships/hyperlink" Target="https://www.icrp.org/publication.asp?id=ICRP+Publication+58" TargetMode="External"/><Relationship Id="rId15" Type="http://schemas.openxmlformats.org/officeDocument/2006/relationships/hyperlink" Target="https://www.icrp.org/publication.asp?id=ICRP+Publication+107" TargetMode="External"/><Relationship Id="rId23" Type="http://schemas.openxmlformats.org/officeDocument/2006/relationships/hyperlink" Target="https://www.icrp.org/publication.asp?id=ICRP+Publication+137" TargetMode="External"/><Relationship Id="rId10" Type="http://schemas.openxmlformats.org/officeDocument/2006/relationships/hyperlink" Target="https://www.icrp.org/publication.asp?id=ICRP+Publication+74" TargetMode="External"/><Relationship Id="rId19" Type="http://schemas.openxmlformats.org/officeDocument/2006/relationships/hyperlink" Target="https://www.icrp.org/publication.asp?id=ICRP+Publication+119" TargetMode="External"/><Relationship Id="rId4" Type="http://schemas.openxmlformats.org/officeDocument/2006/relationships/hyperlink" Target="https://www.icrp.org/publication.asp?id=ICRP+Publication+51" TargetMode="External"/><Relationship Id="rId9" Type="http://schemas.openxmlformats.org/officeDocument/2006/relationships/hyperlink" Target="https://www.icrp.org/publication.asp?id=ICRP+Publication+72" TargetMode="External"/><Relationship Id="rId14" Type="http://schemas.openxmlformats.org/officeDocument/2006/relationships/hyperlink" Target="https://www.icrp.org/publication.asp?id=ICRP+Publication+103" TargetMode="External"/><Relationship Id="rId22" Type="http://schemas.openxmlformats.org/officeDocument/2006/relationships/hyperlink" Target="https://www.icrp.org/publication.asp?id=ICRP+Publication+134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aea.org/publications/8522/criteria-for-use-in-emergency-exposure-situations" TargetMode="External"/><Relationship Id="rId13" Type="http://schemas.openxmlformats.org/officeDocument/2006/relationships/hyperlink" Target="https://www.iaea.org/publications/11102/radiation-protection-and-safety-in-medical-uses-of-ionizing-radiation" TargetMode="External"/><Relationship Id="rId3" Type="http://schemas.openxmlformats.org/officeDocument/2006/relationships/hyperlink" Target="https://www.iaea.org/publications/1096/absorbed-dose-determination-in-photon-and-electron-beams" TargetMode="External"/><Relationship Id="rId7" Type="http://schemas.openxmlformats.org/officeDocument/2006/relationships/hyperlink" Target="https://www.iaea.org/publications/11113/occupational-radiation-protection" TargetMode="External"/><Relationship Id="rId12" Type="http://schemas.openxmlformats.org/officeDocument/2006/relationships/hyperlink" Target="https://www.iaea.org/publications/8201/handbook-of-parameter-values-for-the-prediction-of-radionuclide-transfer" TargetMode="External"/><Relationship Id="rId2" Type="http://schemas.openxmlformats.org/officeDocument/2006/relationships/hyperlink" Target="https://www.iaea.org/publications/5954/absorbed-dose-determination-in-external-beam-radiotherapy" TargetMode="External"/><Relationship Id="rId16" Type="http://schemas.openxmlformats.org/officeDocument/2006/relationships/hyperlink" Target="https://www.iaea.org/publications/6987/methods-for-assessing-occupational-radiation-doses-due-to-intakes-of-radionuclides" TargetMode="External"/><Relationship Id="rId1" Type="http://schemas.openxmlformats.org/officeDocument/2006/relationships/hyperlink" Target="https://www.iaea.org/publications/8930/radiation-protection-and-safety-of-radiation-sources-international-basic-safety-standards" TargetMode="External"/><Relationship Id="rId6" Type="http://schemas.openxmlformats.org/officeDocument/2006/relationships/hyperlink" Target="https://www.iaea.org/publications/6041/calibration-of-radiation-protection-monitoring-instruments" TargetMode="External"/><Relationship Id="rId11" Type="http://schemas.openxmlformats.org/officeDocument/2006/relationships/hyperlink" Target="https://www.iaea.org/publications/7508/radiation-biology-a-handbook-for-teachers-and-students" TargetMode="External"/><Relationship Id="rId5" Type="http://schemas.openxmlformats.org/officeDocument/2006/relationships/hyperlink" Target="https://www-pub.iaea.org/MTCD/Publications/PDF/Pub1223_web.pdf" TargetMode="External"/><Relationship Id="rId15" Type="http://schemas.openxmlformats.org/officeDocument/2006/relationships/hyperlink" Target="https://www.iaea.org/publications/8788/cytogenetic-dosimetry" TargetMode="External"/><Relationship Id="rId10" Type="http://schemas.openxmlformats.org/officeDocument/2006/relationships/hyperlink" Target="https://www.iaea.org/publications/8373/radiation-protection-and-safety-in-industrial-radiography" TargetMode="External"/><Relationship Id="rId4" Type="http://schemas.openxmlformats.org/officeDocument/2006/relationships/hyperlink" Target="https://www.iaea.org/publications/7634/dosimetry-in-diagnostic-radiology" TargetMode="External"/><Relationship Id="rId9" Type="http://schemas.openxmlformats.org/officeDocument/2006/relationships/hyperlink" Target="https://www.iaea.org/publications/6032/generic-models-for-use-in-assessing-the-impact-of-discharges-of-radioactive-substances" TargetMode="External"/><Relationship Id="rId14" Type="http://schemas.openxmlformats.org/officeDocument/2006/relationships/hyperlink" Target="https://www.iaea.org/publications/8449/cytogenetic-dosimetry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icru.org/home/reports/radiation-quantities-and-units-report-33" TargetMode="External"/><Relationship Id="rId13" Type="http://schemas.openxmlformats.org/officeDocument/2006/relationships/hyperlink" Target="https://icru.org/home/reports/prescribing-recording-and-reporting-of-stereotactic-treatments-with-small-photon-beams" TargetMode="External"/><Relationship Id="rId3" Type="http://schemas.openxmlformats.org/officeDocument/2006/relationships/hyperlink" Target="https://ncrponline.org/publications/reports/ncrp-report-no-116/" TargetMode="External"/><Relationship Id="rId7" Type="http://schemas.openxmlformats.org/officeDocument/2006/relationships/hyperlink" Target="https://ncrponline.org/publications/reports/ncrp-report-no-174/" TargetMode="External"/><Relationship Id="rId12" Type="http://schemas.openxmlformats.org/officeDocument/2006/relationships/hyperlink" Target="https://icru.org/home/reports/key-data-for-ionizing-radiation-dosimetry-measurement-standards-and-applications-icru-report-90" TargetMode="External"/><Relationship Id="rId2" Type="http://schemas.openxmlformats.org/officeDocument/2006/relationships/hyperlink" Target="https://ncrponline.org/publications/reports/ncrp-report-no-82/" TargetMode="External"/><Relationship Id="rId1" Type="http://schemas.openxmlformats.org/officeDocument/2006/relationships/hyperlink" Target="https://ncrponline.org/publications/reports/ncrp-report-no-49/" TargetMode="External"/><Relationship Id="rId6" Type="http://schemas.openxmlformats.org/officeDocument/2006/relationships/hyperlink" Target="https://ncrponline.org/publications/reports/ncrp-report-no-160/" TargetMode="External"/><Relationship Id="rId11" Type="http://schemas.openxmlformats.org/officeDocument/2006/relationships/hyperlink" Target="https://icru.org/home/reports/fundamental-quantities-and-units-for-ionizing-radiation-revised-icru-report-85a" TargetMode="External"/><Relationship Id="rId5" Type="http://schemas.openxmlformats.org/officeDocument/2006/relationships/hyperlink" Target="https://ncrponline.org/publications/reports/ncrp-report-no-151/" TargetMode="External"/><Relationship Id="rId15" Type="http://schemas.openxmlformats.org/officeDocument/2006/relationships/hyperlink" Target="https://ncrponline.org/publications/reports/ncrp-report-no-128/" TargetMode="External"/><Relationship Id="rId10" Type="http://schemas.openxmlformats.org/officeDocument/2006/relationships/hyperlink" Target="https://icru.org/home/reports/conversion-coefficients-for-use-in-radiological-protection-against-external-radiation-report-57" TargetMode="External"/><Relationship Id="rId4" Type="http://schemas.openxmlformats.org/officeDocument/2006/relationships/hyperlink" Target="https://ncrponline.org/publications/reports/ncrp-report-no-147/" TargetMode="External"/><Relationship Id="rId9" Type="http://schemas.openxmlformats.org/officeDocument/2006/relationships/hyperlink" Target="https://icru.org/home/reports/quantities-and-units-in-radiation-protection-dosimetry-report-51" TargetMode="External"/><Relationship Id="rId14" Type="http://schemas.openxmlformats.org/officeDocument/2006/relationships/hyperlink" Target="https://icru.org/home/reports/tissue-substitutes-in-radiation-dosimetry-and-measurement-report-44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ecd-nea.org/dbdata/jeff/jeff33/" TargetMode="External"/><Relationship Id="rId13" Type="http://schemas.openxmlformats.org/officeDocument/2006/relationships/hyperlink" Target="https://www.epa.gov/radiation/federal-guidance-reports" TargetMode="External"/><Relationship Id="rId3" Type="http://schemas.openxmlformats.org/officeDocument/2006/relationships/hyperlink" Target="https://www.nist.gov/pml/x-ray-mass-attenuation-coefficients" TargetMode="External"/><Relationship Id="rId7" Type="http://schemas.openxmlformats.org/officeDocument/2006/relationships/hyperlink" Target="https://www.nndc.bnl.gov/endf/b8.0/" TargetMode="External"/><Relationship Id="rId12" Type="http://schemas.openxmlformats.org/officeDocument/2006/relationships/hyperlink" Target="https://www.epa.gov/radiation/federal-guidance-reports" TargetMode="External"/><Relationship Id="rId17" Type="http://schemas.openxmlformats.org/officeDocument/2006/relationships/hyperlink" Target="https://physics.nist.gov/PhysRefData/Star/Text/intro.html" TargetMode="External"/><Relationship Id="rId2" Type="http://schemas.openxmlformats.org/officeDocument/2006/relationships/hyperlink" Target="https://physics.nist.gov/PhysRefData/Star/Text/intro.html" TargetMode="External"/><Relationship Id="rId16" Type="http://schemas.openxmlformats.org/officeDocument/2006/relationships/hyperlink" Target="https://www.nndc.bnl.gov/sigma/" TargetMode="External"/><Relationship Id="rId1" Type="http://schemas.openxmlformats.org/officeDocument/2006/relationships/hyperlink" Target="https://physics.nist.gov/PhysRefData/Xcom/html/xcom1.html" TargetMode="External"/><Relationship Id="rId6" Type="http://schemas.openxmlformats.org/officeDocument/2006/relationships/hyperlink" Target="https://www.icrp.org/publication.asp?id=ICRP+Publication+107" TargetMode="External"/><Relationship Id="rId11" Type="http://schemas.openxmlformats.org/officeDocument/2006/relationships/hyperlink" Target="https://www.icrp.org/page.asp?id=147" TargetMode="External"/><Relationship Id="rId5" Type="http://schemas.openxmlformats.org/officeDocument/2006/relationships/hyperlink" Target="https://www.nndc.bnl.gov/chart/" TargetMode="External"/><Relationship Id="rId15" Type="http://schemas.openxmlformats.org/officeDocument/2006/relationships/hyperlink" Target="https://www.oecd-nea.org/janis/" TargetMode="External"/><Relationship Id="rId10" Type="http://schemas.openxmlformats.org/officeDocument/2006/relationships/hyperlink" Target="https://www.nist.gov/pml/radiation-physics/dosimetry" TargetMode="External"/><Relationship Id="rId4" Type="http://schemas.openxmlformats.org/officeDocument/2006/relationships/hyperlink" Target="https://www.nndc.bnl.gov/nudat3/" TargetMode="External"/><Relationship Id="rId9" Type="http://schemas.openxmlformats.org/officeDocument/2006/relationships/hyperlink" Target="https://wwwndc.jaea.go.jp/jendl/jendl.html" TargetMode="External"/><Relationship Id="rId14" Type="http://schemas.openxmlformats.org/officeDocument/2006/relationships/hyperlink" Target="https://www.ornl.gov/section/dosimetry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aea.org/publications/6945/clearance-of-materials" TargetMode="External"/><Relationship Id="rId13" Type="http://schemas.openxmlformats.org/officeDocument/2006/relationships/hyperlink" Target="https://www.nrc.gov/reading-rm/doc-collections/nuregs/staff/sr1465/" TargetMode="External"/><Relationship Id="rId18" Type="http://schemas.openxmlformats.org/officeDocument/2006/relationships/hyperlink" Target="https://www.standards.doe.gov/standards-documents/1000/1098-astd-2013" TargetMode="External"/><Relationship Id="rId3" Type="http://schemas.openxmlformats.org/officeDocument/2006/relationships/hyperlink" Target="https://www.icrp.org/publication.asp?id=ICRP+Publication+38" TargetMode="External"/><Relationship Id="rId21" Type="http://schemas.openxmlformats.org/officeDocument/2006/relationships/hyperlink" Target="https://ncrponline.org/publications/reports/ncrp-report-no-142/" TargetMode="External"/><Relationship Id="rId7" Type="http://schemas.openxmlformats.org/officeDocument/2006/relationships/hyperlink" Target="https://fispact.ukaea.uk/" TargetMode="External"/><Relationship Id="rId12" Type="http://schemas.openxmlformats.org/officeDocument/2006/relationships/hyperlink" Target="https://www.iaea.org/publications/6867/source-term-analysis" TargetMode="External"/><Relationship Id="rId17" Type="http://schemas.openxmlformats.org/officeDocument/2006/relationships/hyperlink" Target="https://www.osti.gov/biblio/4253083" TargetMode="External"/><Relationship Id="rId2" Type="http://schemas.openxmlformats.org/officeDocument/2006/relationships/hyperlink" Target="https://www.osti.gov/biblio/4160819" TargetMode="External"/><Relationship Id="rId16" Type="http://schemas.openxmlformats.org/officeDocument/2006/relationships/hyperlink" Target="https://www.iaea.org/publications/5683/radiation-effects-on-polymers-for-nuclear-applications" TargetMode="External"/><Relationship Id="rId20" Type="http://schemas.openxmlformats.org/officeDocument/2006/relationships/hyperlink" Target="https://www.unscear.org/unscear/en/publications/2008_1.html" TargetMode="External"/><Relationship Id="rId1" Type="http://schemas.openxmlformats.org/officeDocument/2006/relationships/hyperlink" Target="https://www.wiley.com/en-us/An+Introduction+to+Radiation+Chemistry%2C+3rd+Edition-p-9780471822899" TargetMode="External"/><Relationship Id="rId6" Type="http://schemas.openxmlformats.org/officeDocument/2006/relationships/hyperlink" Target="https://www.ornl.gov/onramp/scale-code-system" TargetMode="External"/><Relationship Id="rId11" Type="http://schemas.openxmlformats.org/officeDocument/2006/relationships/hyperlink" Target="https://www.nejm.org/doi/full/10.1056/NEJMra1103676" TargetMode="External"/><Relationship Id="rId5" Type="http://schemas.openxmlformats.org/officeDocument/2006/relationships/hyperlink" Target="https://www.nndc.bnl.gov/nudat3/" TargetMode="External"/><Relationship Id="rId15" Type="http://schemas.openxmlformats.org/officeDocument/2006/relationships/hyperlink" Target="https://www.sciencedirect.com/book/9780125084604/fundamentals-of-radiation-chemistry" TargetMode="External"/><Relationship Id="rId10" Type="http://schemas.openxmlformats.org/officeDocument/2006/relationships/hyperlink" Target="https://www.springer.com/gp/book/9783527326495" TargetMode="External"/><Relationship Id="rId19" Type="http://schemas.openxmlformats.org/officeDocument/2006/relationships/hyperlink" Target="https://doi.org/10.1016/0969-8043(93)90051-k" TargetMode="External"/><Relationship Id="rId4" Type="http://schemas.openxmlformats.org/officeDocument/2006/relationships/hyperlink" Target="https://www.icrp.org/publication.asp?id=ICRP+Publication+107" TargetMode="External"/><Relationship Id="rId9" Type="http://schemas.openxmlformats.org/officeDocument/2006/relationships/hyperlink" Target="https://doi.org/10.1557/mrs2004.71" TargetMode="External"/><Relationship Id="rId14" Type="http://schemas.openxmlformats.org/officeDocument/2006/relationships/hyperlink" Target="https://www.icrp.org/publication.asp?id=ICRP+Publication+68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rnl.gov/onramp/scale-code-system" TargetMode="External"/><Relationship Id="rId13" Type="http://schemas.openxmlformats.org/officeDocument/2006/relationships/hyperlink" Target="https://rsicc.ornl.gov/codes/psr/psr1/psr-0007.html" TargetMode="External"/><Relationship Id="rId18" Type="http://schemas.openxmlformats.org/officeDocument/2006/relationships/hyperlink" Target="https://www.stuk.fi/web/en/services/pcxmc" TargetMode="External"/><Relationship Id="rId3" Type="http://schemas.openxmlformats.org/officeDocument/2006/relationships/hyperlink" Target="https://fluka.cern/" TargetMode="External"/><Relationship Id="rId7" Type="http://schemas.openxmlformats.org/officeDocument/2006/relationships/hyperlink" Target="https://www.cea.fr/energie/Pages/energie-nucleaire/logiciels-simulation-reacteurs/tripoli-4.aspx" TargetMode="External"/><Relationship Id="rId12" Type="http://schemas.openxmlformats.org/officeDocument/2006/relationships/hyperlink" Target="https://www.varianmedical.com/en/attila/" TargetMode="External"/><Relationship Id="rId17" Type="http://schemas.openxmlformats.org/officeDocument/2006/relationships/hyperlink" Target="https://pnnl.gov/varskin" TargetMode="External"/><Relationship Id="rId2" Type="http://schemas.openxmlformats.org/officeDocument/2006/relationships/hyperlink" Target="https://geant4.web.cern.ch/" TargetMode="External"/><Relationship Id="rId16" Type="http://schemas.openxmlformats.org/officeDocument/2006/relationships/hyperlink" Target="https://www.gov.uk/government/organisations/public-health-england" TargetMode="External"/><Relationship Id="rId20" Type="http://schemas.openxmlformats.org/officeDocument/2006/relationships/hyperlink" Target="https://www.standards.doe.gov/" TargetMode="External"/><Relationship Id="rId1" Type="http://schemas.openxmlformats.org/officeDocument/2006/relationships/hyperlink" Target="https://mcnp.lanl.gov/" TargetMode="External"/><Relationship Id="rId6" Type="http://schemas.openxmlformats.org/officeDocument/2006/relationships/hyperlink" Target="https://phits.jaea.go.jp/" TargetMode="External"/><Relationship Id="rId11" Type="http://schemas.openxmlformats.org/officeDocument/2006/relationships/hyperlink" Target="https://www.ornl.gov/" TargetMode="External"/><Relationship Id="rId5" Type="http://schemas.openxmlformats.org/officeDocument/2006/relationships/hyperlink" Target="https://www.oecd-nea.org/tools/abstract/detail/nea-1525" TargetMode="External"/><Relationship Id="rId15" Type="http://schemas.openxmlformats.org/officeDocument/2006/relationships/hyperlink" Target="https://www.phe-protectionservices.org.uk/cms/resources/IMBA" TargetMode="External"/><Relationship Id="rId10" Type="http://schemas.openxmlformats.org/officeDocument/2006/relationships/hyperlink" Target="https://www.fusion.upm.es/acab.html" TargetMode="External"/><Relationship Id="rId19" Type="http://schemas.openxmlformats.org/officeDocument/2006/relationships/hyperlink" Target="https://www.radiationsoftware.com/raddecay/" TargetMode="External"/><Relationship Id="rId4" Type="http://schemas.openxmlformats.org/officeDocument/2006/relationships/hyperlink" Target="https://nrc.canada.ca/en/research-development/products-services/software-applications/egsnrc-software-tool-simulate-radiation-transport" TargetMode="External"/><Relationship Id="rId9" Type="http://schemas.openxmlformats.org/officeDocument/2006/relationships/hyperlink" Target="https://fispact.ukaea.uk/" TargetMode="External"/><Relationship Id="rId14" Type="http://schemas.openxmlformats.org/officeDocument/2006/relationships/hyperlink" Target="https://www.radiationsoftware.com/microshiel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1A826-9674-4B8D-ABA6-1ADA13CAD890}">
  <dimension ref="A1:F4"/>
  <sheetViews>
    <sheetView workbookViewId="0"/>
  </sheetViews>
  <sheetFormatPr defaultRowHeight="14.25" x14ac:dyDescent="0.45"/>
  <cols>
    <col min="1" max="1" width="9.796875" customWidth="1"/>
    <col min="2" max="2" width="16" customWidth="1"/>
    <col min="3" max="3" width="44.46484375" customWidth="1"/>
    <col min="4" max="4" width="35.53125" customWidth="1"/>
    <col min="5" max="5" width="53.33203125" customWidth="1"/>
    <col min="6" max="6" width="44.46484375" customWidth="1"/>
  </cols>
  <sheetData>
    <row r="1" spans="1:6" x14ac:dyDescent="0.45">
      <c r="A1" s="53" t="s">
        <v>808</v>
      </c>
      <c r="B1" s="53" t="s">
        <v>809</v>
      </c>
      <c r="C1" s="53" t="s">
        <v>810</v>
      </c>
      <c r="D1" s="53" t="s">
        <v>811</v>
      </c>
      <c r="E1" s="53" t="s">
        <v>812</v>
      </c>
      <c r="F1" s="53" t="s">
        <v>813</v>
      </c>
    </row>
    <row r="2" spans="1:6" ht="71.25" x14ac:dyDescent="0.45">
      <c r="A2" s="55">
        <v>1</v>
      </c>
      <c r="B2" s="56">
        <v>46117</v>
      </c>
      <c r="C2" s="55" t="s">
        <v>814</v>
      </c>
      <c r="D2" s="55" t="s">
        <v>815</v>
      </c>
      <c r="E2" s="55" t="s">
        <v>816</v>
      </c>
      <c r="F2" s="55" t="s">
        <v>817</v>
      </c>
    </row>
    <row r="3" spans="1:6" ht="99.75" x14ac:dyDescent="0.45">
      <c r="A3" s="151">
        <v>3</v>
      </c>
      <c r="B3" s="150">
        <v>46117</v>
      </c>
      <c r="C3" s="149" t="s">
        <v>1078</v>
      </c>
      <c r="D3" s="149" t="s">
        <v>1079</v>
      </c>
      <c r="E3" s="149" t="s">
        <v>1080</v>
      </c>
      <c r="F3" s="149" t="s">
        <v>1081</v>
      </c>
    </row>
    <row r="4" spans="1:6" x14ac:dyDescent="0.45">
      <c r="A4">
        <v>3</v>
      </c>
      <c r="B4" s="54">
        <v>46118</v>
      </c>
      <c r="C4" t="s">
        <v>1499</v>
      </c>
      <c r="D4" t="s">
        <v>1500</v>
      </c>
      <c r="E4" t="s">
        <v>1501</v>
      </c>
      <c r="F4" t="s">
        <v>1502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J26"/>
  <sheetViews>
    <sheetView showGridLines="0" workbookViewId="0"/>
  </sheetViews>
  <sheetFormatPr defaultRowHeight="14.25" x14ac:dyDescent="0.45"/>
  <cols>
    <col min="1" max="1" width="3" customWidth="1"/>
    <col min="2" max="2" width="4" customWidth="1"/>
    <col min="3" max="3" width="32" customWidth="1"/>
    <col min="4" max="4" width="52" customWidth="1"/>
    <col min="5" max="5" width="16" customWidth="1"/>
    <col min="6" max="7" width="5" customWidth="1"/>
  </cols>
  <sheetData>
    <row r="1" spans="2:10" ht="8" customHeight="1" x14ac:dyDescent="0.45"/>
    <row r="2" spans="2:10" ht="40.049999999999997" customHeight="1" x14ac:dyDescent="0.45">
      <c r="B2" s="48" t="s">
        <v>0</v>
      </c>
      <c r="C2" s="44"/>
      <c r="D2" s="44"/>
      <c r="E2" s="44"/>
      <c r="F2" s="44"/>
      <c r="G2" s="44"/>
      <c r="H2" s="44"/>
      <c r="I2" s="44"/>
      <c r="J2" s="44"/>
    </row>
    <row r="3" spans="2:10" ht="22.05" customHeight="1" x14ac:dyDescent="0.45">
      <c r="B3" s="43" t="s">
        <v>1</v>
      </c>
      <c r="C3" s="44"/>
      <c r="D3" s="44"/>
      <c r="E3" s="44"/>
      <c r="F3" s="44"/>
      <c r="G3" s="44"/>
      <c r="H3" s="44"/>
      <c r="I3" s="44"/>
      <c r="J3" s="44"/>
    </row>
    <row r="4" spans="2:10" ht="16.05" customHeight="1" x14ac:dyDescent="0.45">
      <c r="B4" s="47" t="s">
        <v>2</v>
      </c>
      <c r="C4" s="44"/>
      <c r="D4" s="44"/>
      <c r="E4" s="44"/>
      <c r="F4" s="44"/>
      <c r="G4" s="44"/>
      <c r="H4" s="44"/>
      <c r="I4" s="44"/>
      <c r="J4" s="44"/>
    </row>
    <row r="5" spans="2:10" ht="4.05" customHeight="1" x14ac:dyDescent="0.45">
      <c r="B5" s="1"/>
      <c r="C5" s="1"/>
      <c r="D5" s="1"/>
      <c r="E5" s="1"/>
      <c r="F5" s="1"/>
      <c r="G5" s="1"/>
      <c r="H5" s="1"/>
      <c r="I5" s="1"/>
      <c r="J5" s="1"/>
    </row>
    <row r="7" spans="2:10" ht="24" customHeight="1" x14ac:dyDescent="0.45"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</row>
    <row r="8" spans="2:10" ht="20" customHeight="1" x14ac:dyDescent="0.45">
      <c r="B8" s="3" t="s">
        <v>8</v>
      </c>
      <c r="C8" s="4" t="s">
        <v>9</v>
      </c>
      <c r="D8" s="5" t="s">
        <v>10</v>
      </c>
      <c r="E8" s="5" t="s">
        <v>11</v>
      </c>
    </row>
    <row r="9" spans="2:10" ht="20" customHeight="1" x14ac:dyDescent="0.45">
      <c r="B9" s="6" t="s">
        <v>12</v>
      </c>
      <c r="C9" s="7" t="s">
        <v>13</v>
      </c>
      <c r="D9" s="8" t="s">
        <v>14</v>
      </c>
      <c r="E9" s="8" t="s">
        <v>15</v>
      </c>
    </row>
    <row r="10" spans="2:10" ht="20" customHeight="1" x14ac:dyDescent="0.45">
      <c r="B10" s="3" t="s">
        <v>16</v>
      </c>
      <c r="C10" s="4" t="s">
        <v>17</v>
      </c>
      <c r="D10" s="5" t="s">
        <v>18</v>
      </c>
      <c r="E10" s="5" t="s">
        <v>19</v>
      </c>
    </row>
    <row r="11" spans="2:10" ht="20" customHeight="1" x14ac:dyDescent="0.45">
      <c r="B11" s="6" t="s">
        <v>20</v>
      </c>
      <c r="C11" s="7" t="s">
        <v>21</v>
      </c>
      <c r="D11" s="8" t="s">
        <v>22</v>
      </c>
      <c r="E11" s="8" t="s">
        <v>23</v>
      </c>
    </row>
    <row r="12" spans="2:10" ht="20" customHeight="1" x14ac:dyDescent="0.45">
      <c r="B12" s="3" t="s">
        <v>24</v>
      </c>
      <c r="C12" s="4" t="s">
        <v>25</v>
      </c>
      <c r="D12" s="5" t="s">
        <v>1071</v>
      </c>
      <c r="E12" s="5" t="s">
        <v>1072</v>
      </c>
    </row>
    <row r="13" spans="2:10" ht="20" customHeight="1" x14ac:dyDescent="0.45">
      <c r="B13" s="6" t="s">
        <v>26</v>
      </c>
      <c r="C13" s="7" t="s">
        <v>27</v>
      </c>
      <c r="D13" s="8" t="s">
        <v>28</v>
      </c>
      <c r="E13" s="8" t="s">
        <v>29</v>
      </c>
    </row>
    <row r="14" spans="2:10" ht="20" customHeight="1" x14ac:dyDescent="0.45">
      <c r="B14" s="3" t="s">
        <v>30</v>
      </c>
      <c r="C14" s="4" t="s">
        <v>31</v>
      </c>
      <c r="D14" s="5" t="s">
        <v>32</v>
      </c>
      <c r="E14" s="5" t="s">
        <v>33</v>
      </c>
    </row>
    <row r="15" spans="2:10" ht="20" customHeight="1" x14ac:dyDescent="0.45">
      <c r="B15" s="138" t="s">
        <v>34</v>
      </c>
      <c r="C15" s="140" t="s">
        <v>35</v>
      </c>
      <c r="D15" s="142" t="s">
        <v>36</v>
      </c>
      <c r="E15" s="142" t="s">
        <v>37</v>
      </c>
    </row>
    <row r="16" spans="2:10" ht="26.25" x14ac:dyDescent="0.45">
      <c r="B16" s="139">
        <v>9</v>
      </c>
      <c r="C16" s="141" t="s">
        <v>1073</v>
      </c>
      <c r="D16" s="144" t="s">
        <v>1074</v>
      </c>
      <c r="E16" s="143" t="s">
        <v>1075</v>
      </c>
    </row>
    <row r="17" spans="2:10" ht="8" customHeight="1" x14ac:dyDescent="0.45"/>
    <row r="18" spans="2:10" ht="20" customHeight="1" x14ac:dyDescent="0.45">
      <c r="B18" s="46" t="s">
        <v>38</v>
      </c>
      <c r="C18" s="44"/>
      <c r="D18" s="44"/>
      <c r="E18" s="44"/>
      <c r="F18" s="44"/>
      <c r="G18" s="44"/>
      <c r="H18" s="44"/>
      <c r="I18" s="44"/>
      <c r="J18" s="44"/>
    </row>
    <row r="19" spans="2:10" ht="18" customHeight="1" x14ac:dyDescent="0.45">
      <c r="B19" s="9"/>
      <c r="C19" s="45" t="s">
        <v>39</v>
      </c>
      <c r="D19" s="44"/>
      <c r="E19" s="44"/>
      <c r="F19" s="44"/>
      <c r="G19" s="44"/>
      <c r="H19" s="44"/>
      <c r="I19" s="44"/>
      <c r="J19" s="44"/>
    </row>
    <row r="20" spans="2:10" ht="18" customHeight="1" x14ac:dyDescent="0.45">
      <c r="B20" s="10"/>
      <c r="C20" s="45" t="s">
        <v>40</v>
      </c>
      <c r="D20" s="44"/>
      <c r="E20" s="44"/>
      <c r="F20" s="44"/>
      <c r="G20" s="44"/>
      <c r="H20" s="44"/>
      <c r="I20" s="44"/>
      <c r="J20" s="44"/>
    </row>
    <row r="21" spans="2:10" ht="18" customHeight="1" x14ac:dyDescent="0.45">
      <c r="B21" s="11"/>
      <c r="C21" s="45" t="s">
        <v>41</v>
      </c>
      <c r="D21" s="44"/>
      <c r="E21" s="44"/>
      <c r="F21" s="44"/>
      <c r="G21" s="44"/>
      <c r="H21" s="44"/>
      <c r="I21" s="44"/>
      <c r="J21" s="44"/>
    </row>
    <row r="22" spans="2:10" ht="18" customHeight="1" x14ac:dyDescent="0.45">
      <c r="B22" s="12"/>
      <c r="C22" s="45" t="s">
        <v>42</v>
      </c>
      <c r="D22" s="44"/>
      <c r="E22" s="44"/>
      <c r="F22" s="44"/>
      <c r="G22" s="44"/>
      <c r="H22" s="44"/>
      <c r="I22" s="44"/>
      <c r="J22" s="44"/>
    </row>
    <row r="23" spans="2:10" ht="18" customHeight="1" x14ac:dyDescent="0.45">
      <c r="B23" s="13"/>
      <c r="C23" s="45" t="s">
        <v>43</v>
      </c>
      <c r="D23" s="44"/>
      <c r="E23" s="44"/>
      <c r="F23" s="44"/>
      <c r="G23" s="44"/>
      <c r="H23" s="44"/>
      <c r="I23" s="44"/>
      <c r="J23" s="44"/>
    </row>
    <row r="25" spans="2:10" x14ac:dyDescent="0.45">
      <c r="B25" s="146"/>
      <c r="C25" s="148" t="s">
        <v>1076</v>
      </c>
    </row>
    <row r="26" spans="2:10" x14ac:dyDescent="0.45">
      <c r="B26" s="147"/>
      <c r="C26" s="145" t="s">
        <v>1077</v>
      </c>
    </row>
  </sheetData>
  <mergeCells count="9">
    <mergeCell ref="C22:J22"/>
    <mergeCell ref="C23:J23"/>
    <mergeCell ref="B2:J2"/>
    <mergeCell ref="B3:J3"/>
    <mergeCell ref="C21:J21"/>
    <mergeCell ref="C20:J20"/>
    <mergeCell ref="B18:J18"/>
    <mergeCell ref="B4:J4"/>
    <mergeCell ref="C19:J19"/>
  </mergeCells>
  <hyperlinks>
    <hyperlink ref="C8" location="'Overview &amp; Index'!A1" display="Overview &amp; Index" xr:uid="{00000000-0004-0000-0000-000000000000}"/>
    <hyperlink ref="C9" location="'ICRP Publications'!A1" display="ICRP Publications" xr:uid="{00000000-0004-0000-0000-000001000000}"/>
    <hyperlink ref="C10" location="'IAEA Standards'!A1" display="IAEA Standards &amp; Reports" xr:uid="{00000000-0004-0000-0000-000002000000}"/>
    <hyperlink ref="C11" location="'NCRP &amp; ICRU Reports'!A1" display="NCRP &amp; ICRU Reports" xr:uid="{00000000-0004-0000-0000-000003000000}"/>
    <hyperlink ref="C12" location="'Dose Calculation'!A1" display="Dose Calculation Methods" xr:uid="{00000000-0004-0000-0000-000004000000}"/>
    <hyperlink ref="C13" location="'Radiation Physics Data'!A1" display="Radiation Physics Data" xr:uid="{00000000-0004-0000-0000-000005000000}"/>
    <hyperlink ref="C14" location="'Degradation Products'!A1" display="Degradation Products" xr:uid="{00000000-0004-0000-0000-000006000000}"/>
    <hyperlink ref="C15" location="'Computational Tools'!A1" display="Computational Tools" xr:uid="{00000000-0004-0000-0000-000007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B1:I31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" customWidth="1"/>
    <col min="2" max="2" width="29.1328125" customWidth="1"/>
    <col min="3" max="3" width="10" customWidth="1"/>
    <col min="4" max="4" width="55" customWidth="1"/>
    <col min="5" max="5" width="30.53125" customWidth="1"/>
    <col min="6" max="6" width="18" customWidth="1"/>
    <col min="7" max="7" width="52" customWidth="1"/>
    <col min="8" max="8" width="48" customWidth="1"/>
    <col min="9" max="9" width="10" customWidth="1"/>
  </cols>
  <sheetData>
    <row r="1" spans="2:9" ht="8" customHeight="1" x14ac:dyDescent="0.45"/>
    <row r="2" spans="2:9" ht="32" customHeight="1" x14ac:dyDescent="0.45">
      <c r="B2" s="50" t="s">
        <v>44</v>
      </c>
      <c r="C2" s="44"/>
      <c r="D2" s="44"/>
      <c r="E2" s="44"/>
      <c r="F2" s="44"/>
      <c r="G2" s="44"/>
      <c r="H2" s="44"/>
      <c r="I2" s="44"/>
    </row>
    <row r="3" spans="2:9" ht="18" customHeight="1" x14ac:dyDescent="0.45">
      <c r="B3" s="49" t="s">
        <v>45</v>
      </c>
      <c r="C3" s="44"/>
      <c r="D3" s="44"/>
      <c r="E3" s="44"/>
      <c r="F3" s="44"/>
      <c r="G3" s="44"/>
      <c r="H3" s="44"/>
      <c r="I3" s="44"/>
    </row>
    <row r="5" spans="2:9" ht="28.05" customHeight="1" x14ac:dyDescent="0.45"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</row>
    <row r="6" spans="2:9" ht="38" customHeight="1" x14ac:dyDescent="0.45">
      <c r="B6" s="14" t="s">
        <v>53</v>
      </c>
      <c r="C6" s="15" t="s">
        <v>54</v>
      </c>
      <c r="D6" s="16" t="s">
        <v>55</v>
      </c>
      <c r="E6" s="15" t="s">
        <v>56</v>
      </c>
      <c r="F6" s="15" t="s">
        <v>57</v>
      </c>
      <c r="G6" s="15" t="s">
        <v>58</v>
      </c>
      <c r="H6" s="17" t="s">
        <v>59</v>
      </c>
    </row>
    <row r="7" spans="2:9" ht="38" customHeight="1" x14ac:dyDescent="0.45">
      <c r="B7" s="14" t="s">
        <v>60</v>
      </c>
      <c r="C7" s="15" t="s">
        <v>61</v>
      </c>
      <c r="D7" s="16" t="s">
        <v>62</v>
      </c>
      <c r="E7" s="15" t="s">
        <v>63</v>
      </c>
      <c r="F7" s="15" t="s">
        <v>64</v>
      </c>
      <c r="G7" s="15" t="s">
        <v>65</v>
      </c>
      <c r="H7" s="17" t="s">
        <v>59</v>
      </c>
    </row>
    <row r="8" spans="2:9" ht="38" customHeight="1" x14ac:dyDescent="0.45">
      <c r="B8" s="18" t="s">
        <v>66</v>
      </c>
      <c r="C8" s="5" t="s">
        <v>67</v>
      </c>
      <c r="D8" s="3" t="s">
        <v>68</v>
      </c>
      <c r="E8" s="5" t="s">
        <v>69</v>
      </c>
      <c r="F8" s="5" t="s">
        <v>70</v>
      </c>
      <c r="G8" s="5" t="s">
        <v>71</v>
      </c>
      <c r="H8" s="4" t="s">
        <v>59</v>
      </c>
    </row>
    <row r="9" spans="2:9" ht="38" customHeight="1" x14ac:dyDescent="0.45">
      <c r="B9" s="18" t="s">
        <v>72</v>
      </c>
      <c r="C9" s="5" t="s">
        <v>73</v>
      </c>
      <c r="D9" s="3" t="s">
        <v>74</v>
      </c>
      <c r="E9" s="5" t="s">
        <v>75</v>
      </c>
      <c r="F9" s="5" t="s">
        <v>76</v>
      </c>
      <c r="G9" s="5" t="s">
        <v>77</v>
      </c>
      <c r="H9" s="4" t="s">
        <v>59</v>
      </c>
    </row>
    <row r="10" spans="2:9" ht="38" customHeight="1" x14ac:dyDescent="0.45">
      <c r="B10" s="18" t="s">
        <v>78</v>
      </c>
      <c r="C10" s="5" t="s">
        <v>79</v>
      </c>
      <c r="D10" s="3" t="s">
        <v>80</v>
      </c>
      <c r="E10" s="5" t="s">
        <v>81</v>
      </c>
      <c r="F10" s="5" t="s">
        <v>82</v>
      </c>
      <c r="G10" s="5" t="s">
        <v>83</v>
      </c>
      <c r="H10" s="4" t="s">
        <v>59</v>
      </c>
    </row>
    <row r="11" spans="2:9" ht="38" customHeight="1" x14ac:dyDescent="0.45">
      <c r="B11" s="14" t="s">
        <v>84</v>
      </c>
      <c r="C11" s="15" t="s">
        <v>85</v>
      </c>
      <c r="D11" s="16" t="s">
        <v>86</v>
      </c>
      <c r="E11" s="15" t="s">
        <v>56</v>
      </c>
      <c r="F11" s="15" t="s">
        <v>87</v>
      </c>
      <c r="G11" s="15" t="s">
        <v>88</v>
      </c>
      <c r="H11" s="17" t="s">
        <v>59</v>
      </c>
    </row>
    <row r="12" spans="2:9" ht="38" customHeight="1" x14ac:dyDescent="0.45">
      <c r="B12" s="18" t="s">
        <v>89</v>
      </c>
      <c r="C12" s="5" t="s">
        <v>90</v>
      </c>
      <c r="D12" s="3" t="s">
        <v>91</v>
      </c>
      <c r="E12" s="5" t="s">
        <v>92</v>
      </c>
      <c r="F12" s="5" t="s">
        <v>93</v>
      </c>
      <c r="G12" s="5" t="s">
        <v>94</v>
      </c>
      <c r="H12" s="4" t="s">
        <v>59</v>
      </c>
    </row>
    <row r="13" spans="2:9" ht="38" customHeight="1" x14ac:dyDescent="0.45">
      <c r="B13" s="14" t="s">
        <v>95</v>
      </c>
      <c r="C13" s="15" t="s">
        <v>96</v>
      </c>
      <c r="D13" s="16" t="s">
        <v>91</v>
      </c>
      <c r="E13" s="15" t="s">
        <v>63</v>
      </c>
      <c r="F13" s="15" t="s">
        <v>97</v>
      </c>
      <c r="G13" s="15" t="s">
        <v>98</v>
      </c>
      <c r="H13" s="17" t="s">
        <v>59</v>
      </c>
    </row>
    <row r="14" spans="2:9" ht="38" customHeight="1" x14ac:dyDescent="0.45">
      <c r="B14" s="18" t="s">
        <v>99</v>
      </c>
      <c r="C14" s="5" t="s">
        <v>100</v>
      </c>
      <c r="D14" s="3" t="s">
        <v>101</v>
      </c>
      <c r="E14" s="5" t="s">
        <v>102</v>
      </c>
      <c r="F14" s="5" t="s">
        <v>103</v>
      </c>
      <c r="G14" s="5" t="s">
        <v>104</v>
      </c>
      <c r="H14" s="4" t="s">
        <v>59</v>
      </c>
    </row>
    <row r="15" spans="2:9" ht="38" customHeight="1" x14ac:dyDescent="0.45">
      <c r="B15" s="18" t="s">
        <v>105</v>
      </c>
      <c r="C15" s="5" t="s">
        <v>106</v>
      </c>
      <c r="D15" s="3" t="s">
        <v>101</v>
      </c>
      <c r="E15" s="5" t="s">
        <v>75</v>
      </c>
      <c r="F15" s="5" t="s">
        <v>107</v>
      </c>
      <c r="G15" s="5" t="s">
        <v>108</v>
      </c>
      <c r="H15" s="4" t="s">
        <v>59</v>
      </c>
    </row>
    <row r="16" spans="2:9" ht="38" customHeight="1" x14ac:dyDescent="0.45">
      <c r="B16" s="18" t="s">
        <v>109</v>
      </c>
      <c r="C16" s="5" t="s">
        <v>110</v>
      </c>
      <c r="D16" s="3" t="s">
        <v>111</v>
      </c>
      <c r="E16" s="5" t="s">
        <v>112</v>
      </c>
      <c r="F16" s="5" t="s">
        <v>113</v>
      </c>
      <c r="G16" s="5" t="s">
        <v>114</v>
      </c>
      <c r="H16" s="4" t="s">
        <v>59</v>
      </c>
    </row>
    <row r="17" spans="2:8" ht="38" customHeight="1" x14ac:dyDescent="0.45">
      <c r="B17" s="18" t="s">
        <v>115</v>
      </c>
      <c r="C17" s="5" t="s">
        <v>116</v>
      </c>
      <c r="D17" s="3" t="s">
        <v>117</v>
      </c>
      <c r="E17" s="5" t="s">
        <v>81</v>
      </c>
      <c r="F17" s="5" t="s">
        <v>118</v>
      </c>
      <c r="G17" s="5" t="s">
        <v>119</v>
      </c>
      <c r="H17" s="4" t="s">
        <v>59</v>
      </c>
    </row>
    <row r="18" spans="2:8" ht="38" customHeight="1" x14ac:dyDescent="0.45">
      <c r="B18" s="18" t="s">
        <v>120</v>
      </c>
      <c r="C18" s="5" t="s">
        <v>121</v>
      </c>
      <c r="D18" s="3" t="s">
        <v>122</v>
      </c>
      <c r="E18" s="5" t="s">
        <v>92</v>
      </c>
      <c r="F18" s="5" t="s">
        <v>123</v>
      </c>
      <c r="G18" s="5" t="s">
        <v>124</v>
      </c>
      <c r="H18" s="4" t="s">
        <v>59</v>
      </c>
    </row>
    <row r="19" spans="2:8" ht="38" customHeight="1" x14ac:dyDescent="0.45">
      <c r="B19" s="14" t="s">
        <v>125</v>
      </c>
      <c r="C19" s="15" t="s">
        <v>126</v>
      </c>
      <c r="D19" s="16" t="s">
        <v>127</v>
      </c>
      <c r="E19" s="15" t="s">
        <v>56</v>
      </c>
      <c r="F19" s="15" t="s">
        <v>128</v>
      </c>
      <c r="G19" s="15" t="s">
        <v>129</v>
      </c>
      <c r="H19" s="17" t="s">
        <v>59</v>
      </c>
    </row>
    <row r="20" spans="2:8" ht="38" customHeight="1" x14ac:dyDescent="0.45">
      <c r="B20" s="18" t="s">
        <v>130</v>
      </c>
      <c r="C20" s="5" t="s">
        <v>131</v>
      </c>
      <c r="D20" s="3" t="s">
        <v>132</v>
      </c>
      <c r="E20" s="5" t="s">
        <v>69</v>
      </c>
      <c r="F20" s="5" t="s">
        <v>133</v>
      </c>
      <c r="G20" s="5" t="s">
        <v>134</v>
      </c>
      <c r="H20" s="4" t="s">
        <v>59</v>
      </c>
    </row>
    <row r="21" spans="2:8" ht="38" customHeight="1" x14ac:dyDescent="0.45">
      <c r="B21" s="18" t="s">
        <v>135</v>
      </c>
      <c r="C21" s="5" t="s">
        <v>136</v>
      </c>
      <c r="D21" s="3" t="s">
        <v>137</v>
      </c>
      <c r="E21" s="5" t="s">
        <v>138</v>
      </c>
      <c r="F21" s="5" t="s">
        <v>139</v>
      </c>
      <c r="G21" s="5" t="s">
        <v>140</v>
      </c>
      <c r="H21" s="4" t="s">
        <v>59</v>
      </c>
    </row>
    <row r="22" spans="2:8" ht="38" customHeight="1" x14ac:dyDescent="0.45">
      <c r="B22" s="19" t="s">
        <v>141</v>
      </c>
      <c r="C22" s="15" t="s">
        <v>142</v>
      </c>
      <c r="D22" s="16" t="s">
        <v>143</v>
      </c>
      <c r="E22" s="15" t="s">
        <v>75</v>
      </c>
      <c r="F22" s="15" t="s">
        <v>144</v>
      </c>
      <c r="G22" s="15" t="s">
        <v>145</v>
      </c>
      <c r="H22" s="17" t="s">
        <v>59</v>
      </c>
    </row>
    <row r="23" spans="2:8" ht="38" customHeight="1" x14ac:dyDescent="0.45">
      <c r="B23" s="18" t="s">
        <v>146</v>
      </c>
      <c r="C23" s="5" t="s">
        <v>147</v>
      </c>
      <c r="D23" s="3" t="s">
        <v>148</v>
      </c>
      <c r="E23" s="5" t="s">
        <v>81</v>
      </c>
      <c r="F23" s="5" t="s">
        <v>149</v>
      </c>
      <c r="G23" s="5" t="s">
        <v>150</v>
      </c>
      <c r="H23" s="4" t="s">
        <v>59</v>
      </c>
    </row>
    <row r="24" spans="2:8" ht="38" customHeight="1" x14ac:dyDescent="0.45">
      <c r="B24" s="18" t="s">
        <v>151</v>
      </c>
      <c r="C24" s="5" t="s">
        <v>152</v>
      </c>
      <c r="D24" s="3" t="s">
        <v>148</v>
      </c>
      <c r="E24" s="5" t="s">
        <v>102</v>
      </c>
      <c r="F24" s="5" t="s">
        <v>153</v>
      </c>
      <c r="G24" s="5" t="s">
        <v>154</v>
      </c>
      <c r="H24" s="4" t="s">
        <v>59</v>
      </c>
    </row>
    <row r="25" spans="2:8" ht="38" customHeight="1" x14ac:dyDescent="0.45">
      <c r="B25" s="14" t="s">
        <v>155</v>
      </c>
      <c r="C25" s="15" t="s">
        <v>156</v>
      </c>
      <c r="D25" s="16" t="s">
        <v>157</v>
      </c>
      <c r="E25" s="15" t="s">
        <v>63</v>
      </c>
      <c r="F25" s="15" t="s">
        <v>158</v>
      </c>
      <c r="G25" s="15" t="s">
        <v>159</v>
      </c>
      <c r="H25" s="17" t="s">
        <v>59</v>
      </c>
    </row>
    <row r="26" spans="2:8" ht="38" customHeight="1" x14ac:dyDescent="0.45">
      <c r="B26" s="18" t="s">
        <v>160</v>
      </c>
      <c r="C26" s="5" t="s">
        <v>161</v>
      </c>
      <c r="D26" s="3" t="s">
        <v>162</v>
      </c>
      <c r="E26" s="5" t="s">
        <v>138</v>
      </c>
      <c r="F26" s="5" t="s">
        <v>163</v>
      </c>
      <c r="G26" s="5" t="s">
        <v>164</v>
      </c>
      <c r="H26" s="4" t="s">
        <v>59</v>
      </c>
    </row>
    <row r="27" spans="2:8" ht="38" customHeight="1" x14ac:dyDescent="0.45">
      <c r="B27" s="18" t="s">
        <v>165</v>
      </c>
      <c r="C27" s="5" t="s">
        <v>166</v>
      </c>
      <c r="D27" s="3" t="s">
        <v>162</v>
      </c>
      <c r="E27" s="5" t="s">
        <v>102</v>
      </c>
      <c r="F27" s="5" t="s">
        <v>167</v>
      </c>
      <c r="G27" s="5" t="s">
        <v>168</v>
      </c>
      <c r="H27" s="4" t="s">
        <v>59</v>
      </c>
    </row>
    <row r="28" spans="2:8" ht="38" customHeight="1" x14ac:dyDescent="0.45">
      <c r="B28" s="18" t="s">
        <v>169</v>
      </c>
      <c r="C28" s="5" t="s">
        <v>170</v>
      </c>
      <c r="D28" s="3" t="s">
        <v>171</v>
      </c>
      <c r="E28" s="5" t="s">
        <v>102</v>
      </c>
      <c r="F28" s="5" t="s">
        <v>172</v>
      </c>
      <c r="G28" s="5" t="s">
        <v>173</v>
      </c>
      <c r="H28" s="4" t="s">
        <v>59</v>
      </c>
    </row>
    <row r="29" spans="2:8" ht="38" customHeight="1" x14ac:dyDescent="0.45">
      <c r="B29" s="18" t="s">
        <v>174</v>
      </c>
      <c r="C29" s="5" t="s">
        <v>175</v>
      </c>
      <c r="D29" s="3" t="s">
        <v>176</v>
      </c>
      <c r="E29" s="5" t="s">
        <v>75</v>
      </c>
      <c r="F29" s="5" t="s">
        <v>177</v>
      </c>
      <c r="G29" s="5" t="s">
        <v>178</v>
      </c>
      <c r="H29" s="4" t="s">
        <v>59</v>
      </c>
    </row>
    <row r="30" spans="2:8" ht="38" customHeight="1" x14ac:dyDescent="0.45">
      <c r="B30" s="18" t="s">
        <v>179</v>
      </c>
      <c r="C30" s="5" t="s">
        <v>180</v>
      </c>
      <c r="D30" s="3" t="s">
        <v>176</v>
      </c>
      <c r="E30" s="5" t="s">
        <v>138</v>
      </c>
      <c r="F30" s="5" t="s">
        <v>181</v>
      </c>
      <c r="G30" s="5" t="s">
        <v>182</v>
      </c>
      <c r="H30" s="4" t="s">
        <v>59</v>
      </c>
    </row>
    <row r="31" spans="2:8" ht="38" customHeight="1" x14ac:dyDescent="0.45">
      <c r="B31" s="14" t="s">
        <v>183</v>
      </c>
      <c r="C31" s="15" t="s">
        <v>184</v>
      </c>
      <c r="D31" s="16" t="s">
        <v>185</v>
      </c>
      <c r="E31" s="15" t="s">
        <v>56</v>
      </c>
      <c r="F31" s="15" t="s">
        <v>186</v>
      </c>
      <c r="G31" s="15" t="s">
        <v>187</v>
      </c>
      <c r="H31" s="17" t="s">
        <v>59</v>
      </c>
    </row>
  </sheetData>
  <mergeCells count="2">
    <mergeCell ref="B3:I3"/>
    <mergeCell ref="B2:I2"/>
  </mergeCells>
  <hyperlinks>
    <hyperlink ref="H6" r:id="rId1" xr:uid="{00000000-0004-0000-0100-000000000000}"/>
    <hyperlink ref="H7" r:id="rId2" xr:uid="{00000000-0004-0000-0100-000001000000}"/>
    <hyperlink ref="H8" r:id="rId3" xr:uid="{00000000-0004-0000-0100-000002000000}"/>
    <hyperlink ref="H9" r:id="rId4" xr:uid="{00000000-0004-0000-0100-000003000000}"/>
    <hyperlink ref="H10" r:id="rId5" xr:uid="{00000000-0004-0000-0100-000004000000}"/>
    <hyperlink ref="H11" r:id="rId6" xr:uid="{00000000-0004-0000-0100-000005000000}"/>
    <hyperlink ref="H12" r:id="rId7" xr:uid="{00000000-0004-0000-0100-000006000000}"/>
    <hyperlink ref="H13" r:id="rId8" xr:uid="{00000000-0004-0000-0100-000007000000}"/>
    <hyperlink ref="H14" r:id="rId9" xr:uid="{00000000-0004-0000-0100-000008000000}"/>
    <hyperlink ref="H15" r:id="rId10" xr:uid="{00000000-0004-0000-0100-000009000000}"/>
    <hyperlink ref="H16" r:id="rId11" xr:uid="{00000000-0004-0000-0100-00000A000000}"/>
    <hyperlink ref="H17" r:id="rId12" xr:uid="{00000000-0004-0000-0100-00000B000000}"/>
    <hyperlink ref="H18" r:id="rId13" xr:uid="{00000000-0004-0000-0100-00000C000000}"/>
    <hyperlink ref="H19" r:id="rId14" xr:uid="{00000000-0004-0000-0100-00000D000000}"/>
    <hyperlink ref="H20" r:id="rId15" xr:uid="{00000000-0004-0000-0100-00000E000000}"/>
    <hyperlink ref="H21" r:id="rId16" xr:uid="{00000000-0004-0000-0100-00000F000000}"/>
    <hyperlink ref="H22" r:id="rId17" xr:uid="{00000000-0004-0000-0100-000010000000}"/>
    <hyperlink ref="H23" r:id="rId18" xr:uid="{00000000-0004-0000-0100-000011000000}"/>
    <hyperlink ref="H24" r:id="rId19" xr:uid="{00000000-0004-0000-0100-000012000000}"/>
    <hyperlink ref="H25" r:id="rId20" xr:uid="{00000000-0004-0000-0100-000013000000}"/>
    <hyperlink ref="H26" r:id="rId21" xr:uid="{00000000-0004-0000-0100-000014000000}"/>
    <hyperlink ref="H27" r:id="rId22" xr:uid="{00000000-0004-0000-0100-000015000000}"/>
    <hyperlink ref="H28" r:id="rId23" xr:uid="{00000000-0004-0000-0100-000016000000}"/>
    <hyperlink ref="H29" r:id="rId24" xr:uid="{00000000-0004-0000-0100-000017000000}"/>
    <hyperlink ref="H30" r:id="rId25" xr:uid="{00000000-0004-0000-0100-000018000000}"/>
    <hyperlink ref="H31" r:id="rId26" xr:uid="{00000000-0004-0000-0100-000019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B2:I21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3" customWidth="1"/>
    <col min="3" max="3" width="16" customWidth="1"/>
    <col min="4" max="4" width="55" customWidth="1"/>
    <col min="5" max="5" width="6" customWidth="1"/>
    <col min="6" max="6" width="20" customWidth="1"/>
    <col min="7" max="7" width="52" customWidth="1"/>
    <col min="8" max="8" width="50" customWidth="1"/>
    <col min="9" max="9" width="10" customWidth="1"/>
  </cols>
  <sheetData>
    <row r="2" spans="2:9" ht="32" customHeight="1" x14ac:dyDescent="0.45">
      <c r="B2" s="50" t="s">
        <v>188</v>
      </c>
      <c r="C2" s="44"/>
      <c r="D2" s="44"/>
      <c r="E2" s="44"/>
      <c r="F2" s="44"/>
      <c r="G2" s="44"/>
      <c r="H2" s="44"/>
      <c r="I2" s="44"/>
    </row>
    <row r="3" spans="2:9" x14ac:dyDescent="0.45">
      <c r="B3" s="49" t="s">
        <v>189</v>
      </c>
      <c r="C3" s="44"/>
      <c r="D3" s="44"/>
      <c r="E3" s="44"/>
      <c r="F3" s="44"/>
      <c r="G3" s="44"/>
      <c r="H3" s="44"/>
      <c r="I3" s="44"/>
    </row>
    <row r="5" spans="2:9" ht="28.05" customHeight="1" x14ac:dyDescent="0.45">
      <c r="B5" s="2" t="s">
        <v>190</v>
      </c>
      <c r="C5" s="2" t="s">
        <v>191</v>
      </c>
      <c r="D5" s="2" t="s">
        <v>48</v>
      </c>
      <c r="E5" s="2" t="s">
        <v>192</v>
      </c>
      <c r="F5" s="2" t="s">
        <v>193</v>
      </c>
      <c r="G5" s="2" t="s">
        <v>194</v>
      </c>
      <c r="H5" s="2" t="s">
        <v>195</v>
      </c>
    </row>
    <row r="6" spans="2:9" ht="40.049999999999997" customHeight="1" x14ac:dyDescent="0.45">
      <c r="B6" s="14" t="s">
        <v>196</v>
      </c>
      <c r="C6" s="15" t="s">
        <v>197</v>
      </c>
      <c r="D6" s="15" t="s">
        <v>198</v>
      </c>
      <c r="E6" s="14" t="s">
        <v>199</v>
      </c>
      <c r="F6" s="15" t="s">
        <v>200</v>
      </c>
      <c r="G6" s="15" t="s">
        <v>201</v>
      </c>
      <c r="H6" s="17" t="s">
        <v>202</v>
      </c>
    </row>
    <row r="7" spans="2:9" ht="40.049999999999997" customHeight="1" x14ac:dyDescent="0.45">
      <c r="B7" s="14" t="s">
        <v>203</v>
      </c>
      <c r="C7" s="15" t="s">
        <v>204</v>
      </c>
      <c r="D7" s="15" t="s">
        <v>205</v>
      </c>
      <c r="E7" s="14" t="s">
        <v>206</v>
      </c>
      <c r="F7" s="15" t="s">
        <v>207</v>
      </c>
      <c r="G7" s="15" t="s">
        <v>208</v>
      </c>
      <c r="H7" s="17" t="s">
        <v>202</v>
      </c>
    </row>
    <row r="8" spans="2:9" ht="40.049999999999997" customHeight="1" x14ac:dyDescent="0.45">
      <c r="B8" s="18" t="s">
        <v>209</v>
      </c>
      <c r="C8" s="5" t="s">
        <v>210</v>
      </c>
      <c r="D8" s="5" t="s">
        <v>74</v>
      </c>
      <c r="E8" s="18" t="s">
        <v>211</v>
      </c>
      <c r="F8" s="5" t="s">
        <v>212</v>
      </c>
      <c r="G8" s="5" t="s">
        <v>213</v>
      </c>
      <c r="H8" s="4" t="s">
        <v>202</v>
      </c>
    </row>
    <row r="9" spans="2:9" ht="40.049999999999997" customHeight="1" x14ac:dyDescent="0.45">
      <c r="B9" s="18" t="s">
        <v>214</v>
      </c>
      <c r="C9" s="5" t="s">
        <v>215</v>
      </c>
      <c r="D9" s="5" t="s">
        <v>127</v>
      </c>
      <c r="E9" s="18" t="s">
        <v>211</v>
      </c>
      <c r="F9" s="5" t="s">
        <v>216</v>
      </c>
      <c r="G9" s="5" t="s">
        <v>217</v>
      </c>
      <c r="H9" s="4" t="s">
        <v>202</v>
      </c>
    </row>
    <row r="10" spans="2:9" ht="40.049999999999997" customHeight="1" x14ac:dyDescent="0.45">
      <c r="B10" s="18" t="s">
        <v>218</v>
      </c>
      <c r="C10" s="5" t="s">
        <v>219</v>
      </c>
      <c r="D10" s="5" t="s">
        <v>122</v>
      </c>
      <c r="E10" s="18" t="s">
        <v>220</v>
      </c>
      <c r="F10" s="5" t="s">
        <v>221</v>
      </c>
      <c r="G10" s="5" t="s">
        <v>222</v>
      </c>
      <c r="H10" s="4" t="s">
        <v>202</v>
      </c>
    </row>
    <row r="11" spans="2:9" ht="40.049999999999997" customHeight="1" x14ac:dyDescent="0.45">
      <c r="B11" s="18" t="s">
        <v>223</v>
      </c>
      <c r="C11" s="5" t="s">
        <v>224</v>
      </c>
      <c r="D11" s="5" t="s">
        <v>205</v>
      </c>
      <c r="E11" s="18" t="s">
        <v>220</v>
      </c>
      <c r="F11" s="5" t="s">
        <v>225</v>
      </c>
      <c r="G11" s="5" t="s">
        <v>226</v>
      </c>
      <c r="H11" s="4" t="s">
        <v>202</v>
      </c>
    </row>
    <row r="12" spans="2:9" ht="40.049999999999997" customHeight="1" x14ac:dyDescent="0.45">
      <c r="B12" s="18" t="s">
        <v>227</v>
      </c>
      <c r="C12" s="5" t="s">
        <v>228</v>
      </c>
      <c r="D12" s="5" t="s">
        <v>229</v>
      </c>
      <c r="E12" s="18" t="s">
        <v>230</v>
      </c>
      <c r="F12" s="5" t="s">
        <v>231</v>
      </c>
      <c r="G12" s="5" t="s">
        <v>232</v>
      </c>
      <c r="H12" s="4" t="s">
        <v>202</v>
      </c>
    </row>
    <row r="13" spans="2:9" ht="40.049999999999997" customHeight="1" x14ac:dyDescent="0.45">
      <c r="B13" s="18" t="s">
        <v>233</v>
      </c>
      <c r="C13" s="5" t="s">
        <v>234</v>
      </c>
      <c r="D13" s="5" t="s">
        <v>235</v>
      </c>
      <c r="E13" s="18" t="s">
        <v>230</v>
      </c>
      <c r="F13" s="5" t="s">
        <v>236</v>
      </c>
      <c r="G13" s="5" t="s">
        <v>237</v>
      </c>
      <c r="H13" s="4" t="s">
        <v>202</v>
      </c>
    </row>
    <row r="14" spans="2:9" ht="40.049999999999997" customHeight="1" x14ac:dyDescent="0.45">
      <c r="B14" s="18" t="s">
        <v>238</v>
      </c>
      <c r="C14" s="5" t="s">
        <v>239</v>
      </c>
      <c r="D14" s="5" t="s">
        <v>240</v>
      </c>
      <c r="E14" s="18" t="s">
        <v>241</v>
      </c>
      <c r="F14" s="5" t="s">
        <v>242</v>
      </c>
      <c r="G14" s="5" t="s">
        <v>243</v>
      </c>
      <c r="H14" s="4" t="s">
        <v>202</v>
      </c>
    </row>
    <row r="15" spans="2:9" ht="40.049999999999997" customHeight="1" x14ac:dyDescent="0.45">
      <c r="B15" s="18" t="s">
        <v>244</v>
      </c>
      <c r="C15" s="5" t="s">
        <v>245</v>
      </c>
      <c r="D15" s="5" t="s">
        <v>235</v>
      </c>
      <c r="E15" s="18" t="s">
        <v>220</v>
      </c>
      <c r="F15" s="5" t="s">
        <v>246</v>
      </c>
      <c r="G15" s="5" t="s">
        <v>247</v>
      </c>
      <c r="H15" s="4" t="s">
        <v>202</v>
      </c>
    </row>
    <row r="16" spans="2:9" ht="40.049999999999997" customHeight="1" x14ac:dyDescent="0.45">
      <c r="B16" s="18" t="s">
        <v>248</v>
      </c>
      <c r="C16" s="5" t="s">
        <v>249</v>
      </c>
      <c r="D16" s="5" t="s">
        <v>143</v>
      </c>
      <c r="E16" s="18" t="s">
        <v>211</v>
      </c>
      <c r="F16" s="5" t="s">
        <v>250</v>
      </c>
      <c r="G16" s="5" t="s">
        <v>251</v>
      </c>
      <c r="H16" s="4" t="s">
        <v>202</v>
      </c>
    </row>
    <row r="17" spans="2:8" ht="40.049999999999997" customHeight="1" x14ac:dyDescent="0.45">
      <c r="B17" s="18" t="s">
        <v>238</v>
      </c>
      <c r="C17" s="5" t="s">
        <v>252</v>
      </c>
      <c r="D17" s="5" t="s">
        <v>143</v>
      </c>
      <c r="E17" s="18" t="s">
        <v>253</v>
      </c>
      <c r="F17" s="5" t="s">
        <v>254</v>
      </c>
      <c r="G17" s="5" t="s">
        <v>255</v>
      </c>
      <c r="H17" s="4" t="s">
        <v>202</v>
      </c>
    </row>
    <row r="18" spans="2:8" ht="40.049999999999997" customHeight="1" x14ac:dyDescent="0.45">
      <c r="B18" s="18" t="s">
        <v>256</v>
      </c>
      <c r="C18" s="5" t="s">
        <v>257</v>
      </c>
      <c r="D18" s="5" t="s">
        <v>229</v>
      </c>
      <c r="E18" s="18" t="s">
        <v>258</v>
      </c>
      <c r="F18" s="5" t="s">
        <v>259</v>
      </c>
      <c r="G18" s="5" t="s">
        <v>260</v>
      </c>
      <c r="H18" s="4" t="s">
        <v>202</v>
      </c>
    </row>
    <row r="19" spans="2:8" ht="40.049999999999997" customHeight="1" x14ac:dyDescent="0.45">
      <c r="B19" s="18" t="s">
        <v>261</v>
      </c>
      <c r="C19" s="5" t="s">
        <v>262</v>
      </c>
      <c r="D19" s="5" t="s">
        <v>235</v>
      </c>
      <c r="E19" s="18" t="s">
        <v>241</v>
      </c>
      <c r="F19" s="5" t="s">
        <v>263</v>
      </c>
      <c r="G19" s="5" t="s">
        <v>264</v>
      </c>
      <c r="H19" s="4" t="s">
        <v>202</v>
      </c>
    </row>
    <row r="20" spans="2:8" ht="40.049999999999997" customHeight="1" x14ac:dyDescent="0.45">
      <c r="B20" s="18" t="s">
        <v>265</v>
      </c>
      <c r="C20" s="5" t="s">
        <v>266</v>
      </c>
      <c r="D20" s="5" t="s">
        <v>235</v>
      </c>
      <c r="E20" s="18" t="s">
        <v>267</v>
      </c>
      <c r="F20" s="5" t="s">
        <v>268</v>
      </c>
      <c r="G20" s="5" t="s">
        <v>269</v>
      </c>
      <c r="H20" s="4" t="s">
        <v>202</v>
      </c>
    </row>
    <row r="21" spans="2:8" ht="40.049999999999997" customHeight="1" x14ac:dyDescent="0.45">
      <c r="B21" s="18" t="s">
        <v>270</v>
      </c>
      <c r="C21" s="5" t="s">
        <v>271</v>
      </c>
      <c r="D21" s="5" t="s">
        <v>272</v>
      </c>
      <c r="E21" s="18" t="s">
        <v>220</v>
      </c>
      <c r="F21" s="5" t="s">
        <v>273</v>
      </c>
      <c r="G21" s="5" t="s">
        <v>274</v>
      </c>
      <c r="H21" s="4" t="s">
        <v>202</v>
      </c>
    </row>
  </sheetData>
  <mergeCells count="2">
    <mergeCell ref="B3:I3"/>
    <mergeCell ref="B2:I2"/>
  </mergeCells>
  <hyperlinks>
    <hyperlink ref="H6" r:id="rId1" xr:uid="{00000000-0004-0000-0200-000000000000}"/>
    <hyperlink ref="H7" r:id="rId2" xr:uid="{00000000-0004-0000-0200-000001000000}"/>
    <hyperlink ref="H8" r:id="rId3" xr:uid="{00000000-0004-0000-0200-000002000000}"/>
    <hyperlink ref="H9" r:id="rId4" xr:uid="{00000000-0004-0000-0200-000003000000}"/>
    <hyperlink ref="H10" r:id="rId5" xr:uid="{00000000-0004-0000-0200-000004000000}"/>
    <hyperlink ref="H11" r:id="rId6" xr:uid="{00000000-0004-0000-0200-000005000000}"/>
    <hyperlink ref="H12" r:id="rId7" xr:uid="{00000000-0004-0000-0200-000006000000}"/>
    <hyperlink ref="H13" r:id="rId8" xr:uid="{00000000-0004-0000-0200-000007000000}"/>
    <hyperlink ref="H14" r:id="rId9" xr:uid="{00000000-0004-0000-0200-000008000000}"/>
    <hyperlink ref="H15" r:id="rId10" xr:uid="{00000000-0004-0000-0200-000009000000}"/>
    <hyperlink ref="H16" r:id="rId11" xr:uid="{00000000-0004-0000-0200-00000A000000}"/>
    <hyperlink ref="H17" r:id="rId12" xr:uid="{00000000-0004-0000-0200-00000B000000}"/>
    <hyperlink ref="H18" r:id="rId13" xr:uid="{00000000-0004-0000-0200-00000C000000}"/>
    <hyperlink ref="H19" r:id="rId14" xr:uid="{00000000-0004-0000-0200-00000D000000}"/>
    <hyperlink ref="H20" r:id="rId15" xr:uid="{00000000-0004-0000-0200-00000E000000}"/>
    <hyperlink ref="H21" r:id="rId16" xr:uid="{00000000-0004-0000-0200-00000F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B2:I20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3" customWidth="1"/>
    <col min="3" max="3" width="12" customWidth="1"/>
    <col min="4" max="4" width="55" customWidth="1"/>
    <col min="5" max="6" width="6" customWidth="1"/>
    <col min="7" max="7" width="52" customWidth="1"/>
    <col min="8" max="8" width="50" customWidth="1"/>
    <col min="9" max="9" width="10" customWidth="1"/>
  </cols>
  <sheetData>
    <row r="2" spans="2:9" ht="32" customHeight="1" x14ac:dyDescent="0.45">
      <c r="B2" s="50" t="s">
        <v>275</v>
      </c>
      <c r="C2" s="44"/>
      <c r="D2" s="44"/>
      <c r="E2" s="44"/>
      <c r="F2" s="44"/>
      <c r="G2" s="44"/>
      <c r="H2" s="44"/>
      <c r="I2" s="44"/>
    </row>
    <row r="3" spans="2:9" x14ac:dyDescent="0.45">
      <c r="B3" s="49" t="s">
        <v>276</v>
      </c>
      <c r="C3" s="44"/>
      <c r="D3" s="44"/>
      <c r="E3" s="44"/>
      <c r="F3" s="44"/>
      <c r="G3" s="44"/>
      <c r="H3" s="44"/>
      <c r="I3" s="44"/>
    </row>
    <row r="5" spans="2:9" ht="28.05" customHeight="1" x14ac:dyDescent="0.45">
      <c r="B5" s="2" t="s">
        <v>277</v>
      </c>
      <c r="C5" s="2" t="s">
        <v>191</v>
      </c>
      <c r="D5" s="2" t="s">
        <v>48</v>
      </c>
      <c r="E5" s="2" t="s">
        <v>278</v>
      </c>
      <c r="F5" s="2" t="s">
        <v>50</v>
      </c>
      <c r="G5" s="2" t="s">
        <v>279</v>
      </c>
      <c r="H5" s="2" t="s">
        <v>280</v>
      </c>
    </row>
    <row r="6" spans="2:9" ht="38" customHeight="1" x14ac:dyDescent="0.45">
      <c r="B6" s="18" t="s">
        <v>281</v>
      </c>
      <c r="C6" s="5" t="s">
        <v>282</v>
      </c>
      <c r="D6" s="5" t="s">
        <v>283</v>
      </c>
      <c r="E6" s="3" t="s">
        <v>284</v>
      </c>
      <c r="F6" s="5" t="s">
        <v>285</v>
      </c>
      <c r="G6" s="5" t="s">
        <v>286</v>
      </c>
      <c r="H6" s="4" t="s">
        <v>287</v>
      </c>
    </row>
    <row r="7" spans="2:9" ht="38" customHeight="1" x14ac:dyDescent="0.45">
      <c r="B7" s="18" t="s">
        <v>288</v>
      </c>
      <c r="C7" s="5" t="s">
        <v>289</v>
      </c>
      <c r="D7" s="5" t="s">
        <v>290</v>
      </c>
      <c r="E7" s="3" t="s">
        <v>284</v>
      </c>
      <c r="F7" s="5" t="s">
        <v>291</v>
      </c>
      <c r="G7" s="5" t="s">
        <v>292</v>
      </c>
      <c r="H7" s="4" t="s">
        <v>287</v>
      </c>
    </row>
    <row r="8" spans="2:9" ht="38" customHeight="1" x14ac:dyDescent="0.45">
      <c r="B8" s="14" t="s">
        <v>293</v>
      </c>
      <c r="C8" s="15" t="s">
        <v>294</v>
      </c>
      <c r="D8" s="15" t="s">
        <v>295</v>
      </c>
      <c r="E8" s="16" t="s">
        <v>296</v>
      </c>
      <c r="F8" s="15" t="s">
        <v>297</v>
      </c>
      <c r="G8" s="15" t="s">
        <v>298</v>
      </c>
      <c r="H8" s="17" t="s">
        <v>287</v>
      </c>
    </row>
    <row r="9" spans="2:9" ht="38" customHeight="1" x14ac:dyDescent="0.45">
      <c r="B9" s="14" t="s">
        <v>299</v>
      </c>
      <c r="C9" s="15" t="s">
        <v>300</v>
      </c>
      <c r="D9" s="15" t="s">
        <v>272</v>
      </c>
      <c r="E9" s="16" t="s">
        <v>296</v>
      </c>
      <c r="F9" s="15" t="s">
        <v>301</v>
      </c>
      <c r="G9" s="15" t="s">
        <v>302</v>
      </c>
      <c r="H9" s="17" t="s">
        <v>287</v>
      </c>
    </row>
    <row r="10" spans="2:9" ht="38" customHeight="1" x14ac:dyDescent="0.45">
      <c r="B10" s="14" t="s">
        <v>303</v>
      </c>
      <c r="C10" s="15" t="s">
        <v>304</v>
      </c>
      <c r="D10" s="15" t="s">
        <v>305</v>
      </c>
      <c r="E10" s="16" t="s">
        <v>296</v>
      </c>
      <c r="F10" s="15" t="s">
        <v>306</v>
      </c>
      <c r="G10" s="15" t="s">
        <v>307</v>
      </c>
      <c r="H10" s="17" t="s">
        <v>287</v>
      </c>
    </row>
    <row r="11" spans="2:9" ht="38" customHeight="1" x14ac:dyDescent="0.45">
      <c r="B11" s="18" t="s">
        <v>308</v>
      </c>
      <c r="C11" s="5" t="s">
        <v>309</v>
      </c>
      <c r="D11" s="5" t="s">
        <v>137</v>
      </c>
      <c r="E11" s="3" t="s">
        <v>284</v>
      </c>
      <c r="F11" s="5" t="s">
        <v>310</v>
      </c>
      <c r="G11" s="5" t="s">
        <v>311</v>
      </c>
      <c r="H11" s="4" t="s">
        <v>287</v>
      </c>
    </row>
    <row r="12" spans="2:9" ht="38" customHeight="1" x14ac:dyDescent="0.45">
      <c r="B12" s="18" t="s">
        <v>312</v>
      </c>
      <c r="C12" s="5" t="s">
        <v>313</v>
      </c>
      <c r="D12" s="5" t="s">
        <v>314</v>
      </c>
      <c r="E12" s="3" t="s">
        <v>284</v>
      </c>
      <c r="F12" s="5" t="s">
        <v>315</v>
      </c>
      <c r="G12" s="5" t="s">
        <v>316</v>
      </c>
      <c r="H12" s="4" t="s">
        <v>287</v>
      </c>
    </row>
    <row r="13" spans="2:9" ht="38" customHeight="1" x14ac:dyDescent="0.45">
      <c r="B13" s="14" t="s">
        <v>317</v>
      </c>
      <c r="C13" s="15" t="s">
        <v>318</v>
      </c>
      <c r="D13" s="15" t="s">
        <v>319</v>
      </c>
      <c r="E13" s="16" t="s">
        <v>320</v>
      </c>
      <c r="F13" s="15" t="s">
        <v>321</v>
      </c>
      <c r="G13" s="15" t="s">
        <v>322</v>
      </c>
      <c r="H13" s="17" t="s">
        <v>287</v>
      </c>
    </row>
    <row r="14" spans="2:9" ht="38" customHeight="1" x14ac:dyDescent="0.45">
      <c r="B14" s="18" t="s">
        <v>323</v>
      </c>
      <c r="C14" s="5" t="s">
        <v>324</v>
      </c>
      <c r="D14" s="5" t="s">
        <v>295</v>
      </c>
      <c r="E14" s="3" t="s">
        <v>325</v>
      </c>
      <c r="F14" s="5" t="s">
        <v>326</v>
      </c>
      <c r="G14" s="5" t="s">
        <v>327</v>
      </c>
      <c r="H14" s="4" t="s">
        <v>287</v>
      </c>
    </row>
    <row r="15" spans="2:9" ht="38" customHeight="1" x14ac:dyDescent="0.45">
      <c r="B15" s="18" t="s">
        <v>328</v>
      </c>
      <c r="C15" s="5" t="s">
        <v>329</v>
      </c>
      <c r="D15" s="5" t="s">
        <v>330</v>
      </c>
      <c r="E15" s="3" t="s">
        <v>325</v>
      </c>
      <c r="F15" s="5" t="s">
        <v>331</v>
      </c>
      <c r="G15" s="5" t="s">
        <v>332</v>
      </c>
      <c r="H15" s="4" t="s">
        <v>287</v>
      </c>
    </row>
    <row r="16" spans="2:9" ht="38" customHeight="1" x14ac:dyDescent="0.45">
      <c r="B16" s="14" t="s">
        <v>333</v>
      </c>
      <c r="C16" s="15" t="s">
        <v>334</v>
      </c>
      <c r="D16" s="15" t="s">
        <v>235</v>
      </c>
      <c r="E16" s="16" t="s">
        <v>320</v>
      </c>
      <c r="F16" s="15" t="s">
        <v>335</v>
      </c>
      <c r="G16" s="15" t="s">
        <v>336</v>
      </c>
      <c r="H16" s="17" t="s">
        <v>287</v>
      </c>
    </row>
    <row r="17" spans="2:8" ht="38" customHeight="1" x14ac:dyDescent="0.45">
      <c r="B17" s="14" t="s">
        <v>337</v>
      </c>
      <c r="C17" s="15" t="s">
        <v>338</v>
      </c>
      <c r="D17" s="15" t="s">
        <v>162</v>
      </c>
      <c r="E17" s="16" t="s">
        <v>320</v>
      </c>
      <c r="F17" s="15" t="s">
        <v>339</v>
      </c>
      <c r="G17" s="15" t="s">
        <v>340</v>
      </c>
      <c r="H17" s="17" t="s">
        <v>287</v>
      </c>
    </row>
    <row r="18" spans="2:8" ht="38" customHeight="1" x14ac:dyDescent="0.45">
      <c r="B18" s="18" t="s">
        <v>341</v>
      </c>
      <c r="C18" s="5" t="s">
        <v>342</v>
      </c>
      <c r="D18" s="5" t="s">
        <v>198</v>
      </c>
      <c r="E18" s="3" t="s">
        <v>325</v>
      </c>
      <c r="F18" s="5" t="s">
        <v>343</v>
      </c>
      <c r="G18" s="5" t="s">
        <v>344</v>
      </c>
      <c r="H18" s="4" t="s">
        <v>287</v>
      </c>
    </row>
    <row r="19" spans="2:8" ht="38" customHeight="1" x14ac:dyDescent="0.45">
      <c r="B19" s="18" t="s">
        <v>345</v>
      </c>
      <c r="C19" s="5" t="s">
        <v>346</v>
      </c>
      <c r="D19" s="5" t="s">
        <v>80</v>
      </c>
      <c r="E19" s="3" t="s">
        <v>325</v>
      </c>
      <c r="F19" s="5" t="s">
        <v>347</v>
      </c>
      <c r="G19" s="5" t="s">
        <v>348</v>
      </c>
      <c r="H19" s="4" t="s">
        <v>287</v>
      </c>
    </row>
    <row r="20" spans="2:8" ht="38" customHeight="1" x14ac:dyDescent="0.45">
      <c r="B20" s="18" t="s">
        <v>349</v>
      </c>
      <c r="C20" s="5" t="s">
        <v>350</v>
      </c>
      <c r="D20" s="5" t="s">
        <v>330</v>
      </c>
      <c r="E20" s="3" t="s">
        <v>284</v>
      </c>
      <c r="F20" s="5" t="s">
        <v>351</v>
      </c>
      <c r="G20" s="5" t="s">
        <v>352</v>
      </c>
      <c r="H20" s="4" t="s">
        <v>287</v>
      </c>
    </row>
  </sheetData>
  <mergeCells count="2">
    <mergeCell ref="B3:I3"/>
    <mergeCell ref="B2:I2"/>
  </mergeCells>
  <hyperlinks>
    <hyperlink ref="H6" r:id="rId1" xr:uid="{00000000-0004-0000-0300-000000000000}"/>
    <hyperlink ref="H7" r:id="rId2" xr:uid="{00000000-0004-0000-0300-000001000000}"/>
    <hyperlink ref="H8" r:id="rId3" xr:uid="{00000000-0004-0000-0300-000002000000}"/>
    <hyperlink ref="H9" r:id="rId4" xr:uid="{00000000-0004-0000-0300-000003000000}"/>
    <hyperlink ref="H10" r:id="rId5" xr:uid="{00000000-0004-0000-0300-000004000000}"/>
    <hyperlink ref="H11" r:id="rId6" xr:uid="{00000000-0004-0000-0300-000005000000}"/>
    <hyperlink ref="H12" r:id="rId7" xr:uid="{00000000-0004-0000-0300-000006000000}"/>
    <hyperlink ref="H13" r:id="rId8" xr:uid="{00000000-0004-0000-0300-000007000000}"/>
    <hyperlink ref="H14" r:id="rId9" xr:uid="{00000000-0004-0000-0300-000008000000}"/>
    <hyperlink ref="H15" r:id="rId10" xr:uid="{00000000-0004-0000-0300-000009000000}"/>
    <hyperlink ref="H16" r:id="rId11" xr:uid="{00000000-0004-0000-0300-00000A000000}"/>
    <hyperlink ref="H17" r:id="rId12" xr:uid="{00000000-0004-0000-0300-00000B000000}"/>
    <hyperlink ref="H18" r:id="rId13" xr:uid="{00000000-0004-0000-0300-00000C000000}"/>
    <hyperlink ref="H19" r:id="rId14" xr:uid="{00000000-0004-0000-0300-00000D000000}"/>
    <hyperlink ref="H20" r:id="rId15" xr:uid="{00000000-0004-0000-0300-00000E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55A11"/>
  </sheetPr>
  <dimension ref="A2:J146"/>
  <sheetViews>
    <sheetView showGridLines="0" workbookViewId="0">
      <pane xSplit="1" ySplit="6" topLeftCell="B7" activePane="bottomRight" state="frozen"/>
      <selection pane="topRight"/>
      <selection pane="bottomLeft"/>
      <selection pane="bottomRight" sqref="A1:L1"/>
    </sheetView>
  </sheetViews>
  <sheetFormatPr defaultRowHeight="14.25" x14ac:dyDescent="0.45"/>
  <cols>
    <col min="1" max="1" width="22.46484375" customWidth="1"/>
    <col min="2" max="2" width="75.3984375" customWidth="1"/>
    <col min="3" max="3" width="23.1328125" customWidth="1"/>
    <col min="4" max="4" width="26.6640625" customWidth="1"/>
    <col min="5" max="5" width="20" customWidth="1"/>
    <col min="6" max="6" width="26" customWidth="1"/>
    <col min="7" max="7" width="28" customWidth="1"/>
    <col min="8" max="8" width="40" customWidth="1"/>
    <col min="9" max="9" width="45" customWidth="1"/>
    <col min="10" max="10" width="5" customWidth="1"/>
  </cols>
  <sheetData>
    <row r="2" spans="2:10" ht="32" customHeight="1" x14ac:dyDescent="0.45">
      <c r="B2" s="50" t="s">
        <v>353</v>
      </c>
      <c r="C2" s="44"/>
      <c r="D2" s="44"/>
      <c r="E2" s="44"/>
      <c r="F2" s="44"/>
      <c r="G2" s="44"/>
      <c r="H2" s="44"/>
      <c r="I2" s="44"/>
      <c r="J2" s="44"/>
    </row>
    <row r="3" spans="2:10" x14ac:dyDescent="0.45">
      <c r="B3" s="49" t="s">
        <v>354</v>
      </c>
      <c r="C3" s="44"/>
      <c r="D3" s="44"/>
      <c r="E3" s="44"/>
      <c r="F3" s="44"/>
      <c r="G3" s="44"/>
      <c r="H3" s="44"/>
      <c r="I3" s="44"/>
      <c r="J3" s="44"/>
    </row>
    <row r="5" spans="2:10" ht="24" customHeight="1" x14ac:dyDescent="0.45">
      <c r="B5" s="51" t="s">
        <v>355</v>
      </c>
      <c r="C5" s="44"/>
      <c r="D5" s="44"/>
      <c r="E5" s="44"/>
      <c r="F5" s="44"/>
      <c r="G5" s="44"/>
      <c r="H5" s="44"/>
      <c r="I5" s="44"/>
      <c r="J5" s="44"/>
    </row>
    <row r="6" spans="2:10" ht="24" customHeight="1" x14ac:dyDescent="0.45">
      <c r="B6" s="2" t="s">
        <v>356</v>
      </c>
      <c r="C6" s="2" t="s">
        <v>357</v>
      </c>
      <c r="D6" s="2" t="s">
        <v>358</v>
      </c>
      <c r="E6" s="2" t="s">
        <v>359</v>
      </c>
      <c r="F6" s="2" t="s">
        <v>360</v>
      </c>
      <c r="G6" s="2" t="s">
        <v>361</v>
      </c>
      <c r="H6" s="2" t="s">
        <v>362</v>
      </c>
    </row>
    <row r="7" spans="2:10" ht="30" customHeight="1" x14ac:dyDescent="0.45">
      <c r="B7" s="20" t="s">
        <v>363</v>
      </c>
      <c r="C7" s="21" t="s">
        <v>364</v>
      </c>
      <c r="D7" s="22" t="s">
        <v>365</v>
      </c>
      <c r="E7" s="21" t="s">
        <v>366</v>
      </c>
      <c r="F7" s="21" t="s">
        <v>367</v>
      </c>
      <c r="G7" s="21" t="s">
        <v>368</v>
      </c>
      <c r="H7" s="21" t="s">
        <v>369</v>
      </c>
    </row>
    <row r="8" spans="2:10" ht="30" customHeight="1" x14ac:dyDescent="0.45">
      <c r="B8" s="20" t="s">
        <v>370</v>
      </c>
      <c r="C8" s="21" t="s">
        <v>371</v>
      </c>
      <c r="D8" s="22" t="s">
        <v>372</v>
      </c>
      <c r="E8" s="21" t="s">
        <v>373</v>
      </c>
      <c r="F8" s="21" t="s">
        <v>374</v>
      </c>
      <c r="G8" s="21" t="s">
        <v>375</v>
      </c>
      <c r="H8" s="21" t="s">
        <v>376</v>
      </c>
    </row>
    <row r="9" spans="2:10" ht="30" customHeight="1" x14ac:dyDescent="0.45">
      <c r="B9" s="20" t="s">
        <v>377</v>
      </c>
      <c r="C9" s="21" t="s">
        <v>378</v>
      </c>
      <c r="D9" s="22" t="s">
        <v>379</v>
      </c>
      <c r="E9" s="21" t="s">
        <v>380</v>
      </c>
      <c r="F9" s="21" t="s">
        <v>381</v>
      </c>
      <c r="G9" s="21" t="s">
        <v>382</v>
      </c>
      <c r="H9" s="21" t="s">
        <v>383</v>
      </c>
    </row>
    <row r="10" spans="2:10" ht="30" customHeight="1" x14ac:dyDescent="0.45">
      <c r="B10" s="20" t="s">
        <v>384</v>
      </c>
      <c r="C10" s="21" t="s">
        <v>385</v>
      </c>
      <c r="D10" s="22" t="s">
        <v>379</v>
      </c>
      <c r="E10" s="21" t="s">
        <v>386</v>
      </c>
      <c r="F10" s="21" t="s">
        <v>387</v>
      </c>
      <c r="G10" s="21" t="s">
        <v>388</v>
      </c>
      <c r="H10" s="21" t="s">
        <v>389</v>
      </c>
    </row>
    <row r="11" spans="2:10" ht="30" customHeight="1" x14ac:dyDescent="0.45">
      <c r="B11" s="20" t="s">
        <v>390</v>
      </c>
      <c r="C11" s="21" t="s">
        <v>391</v>
      </c>
      <c r="D11" s="22" t="s">
        <v>379</v>
      </c>
      <c r="E11" s="21" t="s">
        <v>392</v>
      </c>
      <c r="F11" s="21" t="s">
        <v>393</v>
      </c>
      <c r="G11" s="21" t="s">
        <v>394</v>
      </c>
      <c r="H11" s="21" t="s">
        <v>395</v>
      </c>
    </row>
    <row r="12" spans="2:10" ht="30" customHeight="1" x14ac:dyDescent="0.45">
      <c r="B12" s="20" t="s">
        <v>396</v>
      </c>
      <c r="C12" s="21" t="s">
        <v>397</v>
      </c>
      <c r="D12" s="22" t="s">
        <v>379</v>
      </c>
      <c r="E12" s="21" t="s">
        <v>398</v>
      </c>
      <c r="F12" s="21" t="s">
        <v>399</v>
      </c>
      <c r="G12" s="21" t="s">
        <v>400</v>
      </c>
      <c r="H12" s="21" t="s">
        <v>401</v>
      </c>
    </row>
    <row r="13" spans="2:10" ht="30" customHeight="1" x14ac:dyDescent="0.45">
      <c r="B13" s="20" t="s">
        <v>402</v>
      </c>
      <c r="C13" s="21" t="s">
        <v>403</v>
      </c>
      <c r="D13" s="22" t="s">
        <v>379</v>
      </c>
      <c r="E13" s="21" t="s">
        <v>404</v>
      </c>
      <c r="F13" s="21" t="s">
        <v>405</v>
      </c>
      <c r="G13" s="21" t="s">
        <v>406</v>
      </c>
      <c r="H13" s="21" t="s">
        <v>407</v>
      </c>
    </row>
    <row r="14" spans="2:10" ht="30" customHeight="1" x14ac:dyDescent="0.45">
      <c r="B14" s="20" t="s">
        <v>408</v>
      </c>
      <c r="C14" s="21" t="s">
        <v>409</v>
      </c>
      <c r="D14" s="22" t="s">
        <v>379</v>
      </c>
      <c r="E14" s="21" t="s">
        <v>410</v>
      </c>
      <c r="F14" s="21" t="s">
        <v>411</v>
      </c>
      <c r="G14" s="21" t="s">
        <v>412</v>
      </c>
      <c r="H14" s="21" t="s">
        <v>413</v>
      </c>
    </row>
    <row r="15" spans="2:10" ht="30" customHeight="1" x14ac:dyDescent="0.45">
      <c r="B15" s="20" t="s">
        <v>414</v>
      </c>
      <c r="C15" s="21" t="s">
        <v>415</v>
      </c>
      <c r="D15" s="22" t="s">
        <v>416</v>
      </c>
      <c r="E15" s="21" t="s">
        <v>417</v>
      </c>
      <c r="F15" s="21" t="s">
        <v>418</v>
      </c>
      <c r="G15" s="21" t="s">
        <v>419</v>
      </c>
      <c r="H15" s="21" t="s">
        <v>420</v>
      </c>
    </row>
    <row r="17" spans="2:10" ht="8" customHeight="1" x14ac:dyDescent="0.45"/>
    <row r="18" spans="2:10" ht="24" customHeight="1" x14ac:dyDescent="0.45">
      <c r="B18" s="51" t="s">
        <v>421</v>
      </c>
      <c r="C18" s="44"/>
      <c r="D18" s="44"/>
      <c r="E18" s="44"/>
      <c r="F18" s="44"/>
      <c r="G18" s="44"/>
      <c r="H18" s="44"/>
      <c r="I18" s="44"/>
      <c r="J18" s="44"/>
    </row>
    <row r="19" spans="2:10" ht="24" customHeight="1" x14ac:dyDescent="0.45">
      <c r="B19" s="2" t="s">
        <v>422</v>
      </c>
      <c r="C19" s="2" t="s">
        <v>423</v>
      </c>
      <c r="D19" s="2" t="s">
        <v>424</v>
      </c>
      <c r="E19" s="2" t="s">
        <v>362</v>
      </c>
    </row>
    <row r="20" spans="2:10" ht="22.05" customHeight="1" x14ac:dyDescent="0.45">
      <c r="B20" s="5" t="s">
        <v>818</v>
      </c>
      <c r="C20" s="5" t="s">
        <v>800</v>
      </c>
      <c r="D20" s="18">
        <v>1</v>
      </c>
      <c r="E20" s="3" t="s">
        <v>819</v>
      </c>
    </row>
    <row r="21" spans="2:10" ht="22.05" customHeight="1" x14ac:dyDescent="0.45">
      <c r="B21" s="8" t="s">
        <v>820</v>
      </c>
      <c r="C21" s="8" t="s">
        <v>800</v>
      </c>
      <c r="D21" s="23">
        <v>1</v>
      </c>
      <c r="E21" s="6" t="s">
        <v>821</v>
      </c>
    </row>
    <row r="22" spans="2:10" ht="22.05" customHeight="1" x14ac:dyDescent="0.45">
      <c r="B22" s="5" t="s">
        <v>822</v>
      </c>
      <c r="C22" s="5" t="s">
        <v>823</v>
      </c>
      <c r="D22" s="18">
        <v>2</v>
      </c>
      <c r="E22" s="3" t="s">
        <v>824</v>
      </c>
    </row>
    <row r="23" spans="2:10" ht="22.05" customHeight="1" x14ac:dyDescent="0.45">
      <c r="B23" s="8" t="s">
        <v>825</v>
      </c>
      <c r="C23" s="8" t="s">
        <v>800</v>
      </c>
      <c r="D23" s="23">
        <v>20</v>
      </c>
      <c r="E23" s="6" t="s">
        <v>826</v>
      </c>
    </row>
    <row r="24" spans="2:10" ht="22.05" customHeight="1" x14ac:dyDescent="0.45">
      <c r="B24" s="5" t="s">
        <v>827</v>
      </c>
      <c r="C24" s="5" t="s">
        <v>828</v>
      </c>
      <c r="D24" s="18" t="s">
        <v>829</v>
      </c>
      <c r="E24" s="3" t="s">
        <v>830</v>
      </c>
    </row>
    <row r="25" spans="2:10" ht="22.05" customHeight="1" x14ac:dyDescent="0.45">
      <c r="B25" s="8" t="s">
        <v>831</v>
      </c>
      <c r="C25" s="8" t="s">
        <v>832</v>
      </c>
      <c r="D25" s="23" t="s">
        <v>833</v>
      </c>
      <c r="E25" s="6" t="s">
        <v>834</v>
      </c>
    </row>
    <row r="26" spans="2:10" ht="22.05" customHeight="1" x14ac:dyDescent="0.45">
      <c r="B26" s="15" t="s">
        <v>835</v>
      </c>
      <c r="C26" s="15" t="s">
        <v>836</v>
      </c>
      <c r="D26" s="19" t="s">
        <v>837</v>
      </c>
      <c r="E26" s="16" t="s">
        <v>838</v>
      </c>
    </row>
    <row r="27" spans="2:10" ht="22.05" customHeight="1" x14ac:dyDescent="0.45">
      <c r="B27" s="8" t="s">
        <v>839</v>
      </c>
      <c r="C27" s="8" t="s">
        <v>840</v>
      </c>
      <c r="D27" s="23" t="s">
        <v>841</v>
      </c>
      <c r="E27" s="6" t="s">
        <v>842</v>
      </c>
    </row>
    <row r="29" spans="2:10" ht="8" customHeight="1" x14ac:dyDescent="0.45"/>
    <row r="30" spans="2:10" ht="24" customHeight="1" x14ac:dyDescent="0.45">
      <c r="B30" s="51" t="s">
        <v>425</v>
      </c>
      <c r="C30" s="44"/>
      <c r="D30" s="44"/>
      <c r="E30" s="44"/>
      <c r="F30" s="44"/>
      <c r="G30" s="44"/>
      <c r="H30" s="44"/>
      <c r="I30" s="44"/>
      <c r="J30" s="44"/>
    </row>
    <row r="31" spans="2:10" ht="24" customHeight="1" x14ac:dyDescent="0.45">
      <c r="B31" s="2" t="s">
        <v>426</v>
      </c>
      <c r="C31" s="2" t="s">
        <v>427</v>
      </c>
      <c r="D31" s="2" t="s">
        <v>428</v>
      </c>
      <c r="E31" s="2" t="s">
        <v>429</v>
      </c>
      <c r="F31" s="2" t="s">
        <v>430</v>
      </c>
    </row>
    <row r="32" spans="2:10" ht="28.05" customHeight="1" x14ac:dyDescent="0.45">
      <c r="B32" s="5" t="s">
        <v>843</v>
      </c>
      <c r="C32" s="18">
        <v>0.12</v>
      </c>
      <c r="D32" s="3">
        <v>0.12</v>
      </c>
      <c r="E32" s="3">
        <v>1</v>
      </c>
      <c r="F32" s="5" t="s">
        <v>844</v>
      </c>
    </row>
    <row r="33" spans="2:6" ht="28.05" customHeight="1" x14ac:dyDescent="0.45">
      <c r="B33" s="8" t="s">
        <v>845</v>
      </c>
      <c r="C33" s="23">
        <v>0.12</v>
      </c>
      <c r="D33" s="6" t="s">
        <v>11</v>
      </c>
      <c r="E33" s="6">
        <v>1</v>
      </c>
      <c r="F33" s="8" t="s">
        <v>846</v>
      </c>
    </row>
    <row r="34" spans="2:6" ht="28.05" customHeight="1" x14ac:dyDescent="0.45">
      <c r="B34" s="5" t="s">
        <v>847</v>
      </c>
      <c r="C34" s="18">
        <v>0.12</v>
      </c>
      <c r="D34" s="3">
        <v>0.12</v>
      </c>
      <c r="E34" s="3">
        <v>1</v>
      </c>
      <c r="F34" s="5" t="s">
        <v>844</v>
      </c>
    </row>
    <row r="35" spans="2:6" ht="28.05" customHeight="1" x14ac:dyDescent="0.45">
      <c r="B35" s="8" t="s">
        <v>848</v>
      </c>
      <c r="C35" s="23">
        <v>0.12</v>
      </c>
      <c r="D35" s="6">
        <v>0.12</v>
      </c>
      <c r="E35" s="6">
        <v>1</v>
      </c>
      <c r="F35" s="8" t="s">
        <v>844</v>
      </c>
    </row>
    <row r="36" spans="2:6" ht="28.05" customHeight="1" x14ac:dyDescent="0.45">
      <c r="B36" s="5" t="s">
        <v>849</v>
      </c>
      <c r="C36" s="18">
        <v>0.12</v>
      </c>
      <c r="D36" s="3">
        <v>0.05</v>
      </c>
      <c r="E36" s="3">
        <v>1</v>
      </c>
      <c r="F36" s="5" t="s">
        <v>850</v>
      </c>
    </row>
    <row r="37" spans="2:6" ht="28.05" customHeight="1" x14ac:dyDescent="0.45">
      <c r="B37" s="59" t="s">
        <v>851</v>
      </c>
      <c r="C37" s="60">
        <v>0.6</v>
      </c>
      <c r="D37" s="60" t="s">
        <v>11</v>
      </c>
      <c r="E37" s="60">
        <v>5</v>
      </c>
      <c r="F37" s="59" t="s">
        <v>852</v>
      </c>
    </row>
    <row r="38" spans="2:6" ht="28.05" customHeight="1" x14ac:dyDescent="0.45">
      <c r="B38" s="64" t="s">
        <v>853</v>
      </c>
      <c r="C38" s="61">
        <v>0.08</v>
      </c>
      <c r="D38" s="61">
        <v>0.2</v>
      </c>
      <c r="E38" s="61">
        <v>1</v>
      </c>
      <c r="F38" s="64" t="s">
        <v>854</v>
      </c>
    </row>
    <row r="39" spans="2:6" ht="28.05" customHeight="1" x14ac:dyDescent="0.45">
      <c r="B39" s="65" t="s">
        <v>855</v>
      </c>
      <c r="C39" s="62">
        <v>0.04</v>
      </c>
      <c r="D39" s="62">
        <v>0.05</v>
      </c>
      <c r="E39" s="62">
        <v>1</v>
      </c>
      <c r="F39" s="65" t="s">
        <v>856</v>
      </c>
    </row>
    <row r="40" spans="2:6" ht="28.05" customHeight="1" x14ac:dyDescent="0.45">
      <c r="B40" s="64" t="s">
        <v>857</v>
      </c>
      <c r="C40" s="61">
        <v>0.04</v>
      </c>
      <c r="D40" s="61">
        <v>0.05</v>
      </c>
      <c r="E40" s="61">
        <v>1</v>
      </c>
      <c r="F40" s="64" t="s">
        <v>856</v>
      </c>
    </row>
    <row r="41" spans="2:6" ht="28.05" customHeight="1" x14ac:dyDescent="0.45">
      <c r="B41" s="65" t="s">
        <v>858</v>
      </c>
      <c r="C41" s="62">
        <v>0.04</v>
      </c>
      <c r="D41" s="62">
        <v>0.05</v>
      </c>
      <c r="E41" s="62">
        <v>1</v>
      </c>
      <c r="F41" s="65" t="s">
        <v>856</v>
      </c>
    </row>
    <row r="42" spans="2:6" ht="28.05" customHeight="1" x14ac:dyDescent="0.45">
      <c r="B42" s="64" t="s">
        <v>859</v>
      </c>
      <c r="C42" s="61">
        <v>0.04</v>
      </c>
      <c r="D42" s="61">
        <v>0.05</v>
      </c>
      <c r="E42" s="61">
        <v>1</v>
      </c>
      <c r="F42" s="64" t="s">
        <v>856</v>
      </c>
    </row>
    <row r="43" spans="2:6" ht="28.05" customHeight="1" x14ac:dyDescent="0.45">
      <c r="B43" s="66" t="s">
        <v>860</v>
      </c>
      <c r="C43" s="63">
        <v>0.2</v>
      </c>
      <c r="D43" s="63" t="s">
        <v>11</v>
      </c>
      <c r="E43" s="63">
        <v>5</v>
      </c>
      <c r="F43" s="66" t="s">
        <v>861</v>
      </c>
    </row>
    <row r="44" spans="2:6" ht="28.05" customHeight="1" x14ac:dyDescent="0.45">
      <c r="B44" s="64" t="s">
        <v>862</v>
      </c>
      <c r="C44" s="61">
        <v>0.01</v>
      </c>
      <c r="D44" s="61">
        <v>0.01</v>
      </c>
      <c r="E44" s="61">
        <v>1</v>
      </c>
      <c r="F44" s="64" t="s">
        <v>844</v>
      </c>
    </row>
    <row r="45" spans="2:6" ht="28.05" customHeight="1" x14ac:dyDescent="0.45">
      <c r="B45" s="65" t="s">
        <v>863</v>
      </c>
      <c r="C45" s="62">
        <v>0.01</v>
      </c>
      <c r="D45" s="62" t="s">
        <v>11</v>
      </c>
      <c r="E45" s="62">
        <v>1</v>
      </c>
      <c r="F45" s="65" t="s">
        <v>864</v>
      </c>
    </row>
    <row r="46" spans="2:6" ht="28.05" customHeight="1" x14ac:dyDescent="0.45">
      <c r="B46" s="64" t="s">
        <v>865</v>
      </c>
      <c r="C46" s="61">
        <v>0.01</v>
      </c>
      <c r="D46" s="61" t="s">
        <v>11</v>
      </c>
      <c r="E46" s="61">
        <v>1</v>
      </c>
      <c r="F46" s="64" t="s">
        <v>864</v>
      </c>
    </row>
    <row r="47" spans="2:6" ht="28.05" customHeight="1" x14ac:dyDescent="0.45">
      <c r="B47" s="65" t="s">
        <v>866</v>
      </c>
      <c r="C47" s="62">
        <v>0.01</v>
      </c>
      <c r="D47" s="62">
        <v>0.01</v>
      </c>
      <c r="E47" s="62">
        <v>1</v>
      </c>
      <c r="F47" s="65" t="s">
        <v>844</v>
      </c>
    </row>
    <row r="48" spans="2:6" ht="28.05" customHeight="1" x14ac:dyDescent="0.45">
      <c r="B48" s="66" t="s">
        <v>867</v>
      </c>
      <c r="C48" s="63">
        <v>0.04</v>
      </c>
      <c r="D48" s="63" t="s">
        <v>11</v>
      </c>
      <c r="E48" s="63">
        <v>4</v>
      </c>
      <c r="F48" s="66" t="s">
        <v>868</v>
      </c>
    </row>
    <row r="49" spans="2:10" ht="28.05" customHeight="1" x14ac:dyDescent="0.45">
      <c r="B49" s="64" t="s">
        <v>869</v>
      </c>
      <c r="C49" s="61">
        <v>0.12</v>
      </c>
      <c r="D49" s="61">
        <v>0.05</v>
      </c>
      <c r="E49" s="61">
        <v>14</v>
      </c>
      <c r="F49" s="64" t="s">
        <v>870</v>
      </c>
    </row>
    <row r="50" spans="2:10" ht="28.05" customHeight="1" x14ac:dyDescent="0.45">
      <c r="B50" s="66" t="s">
        <v>871</v>
      </c>
      <c r="C50" s="63">
        <v>1</v>
      </c>
      <c r="D50" s="63">
        <v>1</v>
      </c>
      <c r="E50" s="63" t="s">
        <v>872</v>
      </c>
      <c r="F50" s="66" t="s">
        <v>873</v>
      </c>
    </row>
    <row r="51" spans="2:10" ht="28.05" customHeight="1" x14ac:dyDescent="0.45">
      <c r="B51" s="57"/>
      <c r="C51" s="58"/>
      <c r="D51" s="58"/>
      <c r="E51" s="58"/>
      <c r="F51" s="57"/>
    </row>
    <row r="52" spans="2:10" ht="28.05" customHeight="1" x14ac:dyDescent="0.45">
      <c r="B52" s="57"/>
      <c r="C52" s="58"/>
      <c r="D52" s="58"/>
      <c r="E52" s="58"/>
      <c r="F52" s="57"/>
    </row>
    <row r="53" spans="2:10" ht="28.05" customHeight="1" x14ac:dyDescent="0.45">
      <c r="B53" s="57"/>
      <c r="C53" s="58"/>
      <c r="D53" s="58"/>
      <c r="E53" s="58"/>
      <c r="F53" s="57"/>
    </row>
    <row r="54" spans="2:10" ht="28.05" customHeight="1" x14ac:dyDescent="0.45">
      <c r="B54" s="57"/>
      <c r="C54" s="58"/>
      <c r="D54" s="58"/>
      <c r="E54" s="58"/>
      <c r="F54" s="57"/>
    </row>
    <row r="55" spans="2:10" ht="28.05" customHeight="1" x14ac:dyDescent="0.45">
      <c r="B55" s="57"/>
      <c r="C55" s="58"/>
      <c r="D55" s="58"/>
      <c r="E55" s="58"/>
      <c r="F55" s="57"/>
    </row>
    <row r="57" spans="2:10" ht="8" customHeight="1" x14ac:dyDescent="0.45"/>
    <row r="58" spans="2:10" ht="24" customHeight="1" thickBot="1" x14ac:dyDescent="0.5">
      <c r="B58" s="51" t="s">
        <v>431</v>
      </c>
      <c r="C58" s="44"/>
      <c r="D58" s="44"/>
      <c r="E58" s="44"/>
      <c r="F58" s="44"/>
      <c r="G58" s="44"/>
      <c r="H58" s="44"/>
      <c r="I58" s="44"/>
      <c r="J58" s="44"/>
    </row>
    <row r="59" spans="2:10" ht="24" customHeight="1" thickBot="1" x14ac:dyDescent="0.5">
      <c r="B59" s="67" t="s">
        <v>432</v>
      </c>
      <c r="C59" s="67" t="s">
        <v>356</v>
      </c>
      <c r="D59" s="67" t="s">
        <v>433</v>
      </c>
      <c r="E59" s="67" t="s">
        <v>434</v>
      </c>
      <c r="F59" s="67" t="s">
        <v>435</v>
      </c>
      <c r="G59" s="67" t="s">
        <v>362</v>
      </c>
    </row>
    <row r="60" spans="2:10" ht="24" customHeight="1" x14ac:dyDescent="0.45">
      <c r="B60" s="74" t="s">
        <v>874</v>
      </c>
      <c r="C60" s="71" t="s">
        <v>875</v>
      </c>
      <c r="D60" s="71" t="s">
        <v>876</v>
      </c>
      <c r="E60" s="71" t="s">
        <v>877</v>
      </c>
      <c r="F60" s="77" t="s">
        <v>878</v>
      </c>
      <c r="G60" s="77" t="s">
        <v>879</v>
      </c>
    </row>
    <row r="61" spans="2:10" ht="24" customHeight="1" x14ac:dyDescent="0.45">
      <c r="B61" s="75" t="s">
        <v>880</v>
      </c>
      <c r="C61" s="72" t="s">
        <v>881</v>
      </c>
      <c r="D61" s="72" t="s">
        <v>876</v>
      </c>
      <c r="E61" s="72" t="s">
        <v>877</v>
      </c>
      <c r="F61" s="78" t="s">
        <v>882</v>
      </c>
      <c r="G61" s="78" t="s">
        <v>883</v>
      </c>
    </row>
    <row r="62" spans="2:10" ht="24" customHeight="1" x14ac:dyDescent="0.45">
      <c r="B62" s="76" t="s">
        <v>884</v>
      </c>
      <c r="C62" s="73" t="s">
        <v>881</v>
      </c>
      <c r="D62" s="73" t="s">
        <v>885</v>
      </c>
      <c r="E62" s="73" t="s">
        <v>886</v>
      </c>
      <c r="F62" s="79" t="s">
        <v>887</v>
      </c>
      <c r="G62" s="79" t="s">
        <v>888</v>
      </c>
    </row>
    <row r="63" spans="2:10" ht="24" customHeight="1" x14ac:dyDescent="0.45">
      <c r="B63" s="75" t="s">
        <v>889</v>
      </c>
      <c r="C63" s="72" t="s">
        <v>881</v>
      </c>
      <c r="D63" s="72" t="s">
        <v>885</v>
      </c>
      <c r="E63" s="72" t="s">
        <v>886</v>
      </c>
      <c r="F63" s="78" t="s">
        <v>887</v>
      </c>
      <c r="G63" s="78" t="s">
        <v>890</v>
      </c>
    </row>
    <row r="64" spans="2:10" ht="24" customHeight="1" x14ac:dyDescent="0.45">
      <c r="B64" s="76" t="s">
        <v>891</v>
      </c>
      <c r="C64" s="73" t="s">
        <v>875</v>
      </c>
      <c r="D64" s="73" t="s">
        <v>892</v>
      </c>
      <c r="E64" s="73" t="s">
        <v>886</v>
      </c>
      <c r="F64" s="79" t="s">
        <v>878</v>
      </c>
      <c r="G64" s="79" t="s">
        <v>893</v>
      </c>
    </row>
    <row r="65" spans="1:10" ht="24" customHeight="1" x14ac:dyDescent="0.45">
      <c r="B65" s="75" t="s">
        <v>894</v>
      </c>
      <c r="C65" s="72" t="s">
        <v>881</v>
      </c>
      <c r="D65" s="72" t="s">
        <v>895</v>
      </c>
      <c r="E65" s="72" t="s">
        <v>886</v>
      </c>
      <c r="F65" s="78" t="s">
        <v>896</v>
      </c>
      <c r="G65" s="78" t="s">
        <v>897</v>
      </c>
    </row>
    <row r="66" spans="1:10" ht="24" customHeight="1" x14ac:dyDescent="0.45">
      <c r="B66" s="76" t="s">
        <v>898</v>
      </c>
      <c r="C66" s="73" t="s">
        <v>881</v>
      </c>
      <c r="D66" s="73" t="s">
        <v>899</v>
      </c>
      <c r="E66" s="73" t="s">
        <v>886</v>
      </c>
      <c r="F66" s="79" t="s">
        <v>896</v>
      </c>
      <c r="G66" s="79" t="s">
        <v>900</v>
      </c>
    </row>
    <row r="67" spans="1:10" ht="24" customHeight="1" x14ac:dyDescent="0.45">
      <c r="B67" s="75" t="s">
        <v>901</v>
      </c>
      <c r="C67" s="72" t="s">
        <v>902</v>
      </c>
      <c r="D67" s="72" t="s">
        <v>903</v>
      </c>
      <c r="E67" s="72" t="s">
        <v>904</v>
      </c>
      <c r="F67" s="78" t="s">
        <v>905</v>
      </c>
      <c r="G67" s="78" t="s">
        <v>906</v>
      </c>
    </row>
    <row r="68" spans="1:10" ht="24" customHeight="1" x14ac:dyDescent="0.45">
      <c r="B68" s="76" t="s">
        <v>907</v>
      </c>
      <c r="C68" s="73" t="s">
        <v>875</v>
      </c>
      <c r="D68" s="73" t="s">
        <v>908</v>
      </c>
      <c r="E68" s="73" t="s">
        <v>909</v>
      </c>
      <c r="F68" s="79" t="s">
        <v>910</v>
      </c>
      <c r="G68" s="79" t="s">
        <v>911</v>
      </c>
    </row>
    <row r="69" spans="1:10" ht="24" customHeight="1" x14ac:dyDescent="0.45">
      <c r="B69" s="75" t="s">
        <v>912</v>
      </c>
      <c r="C69" s="72" t="s">
        <v>875</v>
      </c>
      <c r="D69" s="72" t="s">
        <v>913</v>
      </c>
      <c r="E69" s="72" t="s">
        <v>909</v>
      </c>
      <c r="F69" s="78" t="s">
        <v>910</v>
      </c>
      <c r="G69" s="78" t="s">
        <v>914</v>
      </c>
    </row>
    <row r="70" spans="1:10" ht="26" customHeight="1" x14ac:dyDescent="0.45">
      <c r="B70" s="68"/>
      <c r="C70" s="69"/>
      <c r="D70" s="70"/>
      <c r="E70" s="69"/>
      <c r="F70" s="68"/>
      <c r="G70" s="68"/>
    </row>
    <row r="71" spans="1:10" ht="26" customHeight="1" x14ac:dyDescent="0.45">
      <c r="B71" s="8"/>
      <c r="C71" s="6"/>
      <c r="D71" s="23"/>
      <c r="E71" s="6"/>
      <c r="F71" s="8"/>
      <c r="G71" s="8"/>
    </row>
    <row r="72" spans="1:10" ht="26" customHeight="1" x14ac:dyDescent="0.45">
      <c r="B72" s="5"/>
      <c r="C72" s="3"/>
      <c r="D72" s="18"/>
      <c r="E72" s="3"/>
      <c r="F72" s="5"/>
      <c r="G72" s="5"/>
    </row>
    <row r="73" spans="1:10" ht="26" customHeight="1" x14ac:dyDescent="0.5">
      <c r="A73" s="105" t="s">
        <v>999</v>
      </c>
      <c r="B73" s="105"/>
      <c r="C73" s="105"/>
      <c r="D73" s="105"/>
      <c r="E73" s="105"/>
      <c r="F73" s="105"/>
      <c r="G73" s="105"/>
      <c r="H73" s="105"/>
      <c r="I73" s="105"/>
      <c r="J73" s="105"/>
    </row>
    <row r="74" spans="1:10" ht="26" customHeight="1" x14ac:dyDescent="0.45">
      <c r="B74" s="134" t="s">
        <v>1065</v>
      </c>
      <c r="C74" s="135"/>
      <c r="D74" s="135"/>
      <c r="E74" s="135"/>
      <c r="F74" s="135"/>
      <c r="G74" s="135"/>
      <c r="H74" s="135"/>
      <c r="I74" s="135"/>
      <c r="J74" s="135"/>
    </row>
    <row r="75" spans="1:10" ht="26" customHeight="1" thickBot="1" x14ac:dyDescent="0.5">
      <c r="B75" s="106" t="s">
        <v>1000</v>
      </c>
      <c r="C75" s="109" t="s">
        <v>950</v>
      </c>
      <c r="D75" s="107" t="s">
        <v>1001</v>
      </c>
      <c r="E75" s="6"/>
      <c r="F75" s="8"/>
      <c r="G75" s="8"/>
    </row>
    <row r="76" spans="1:10" ht="26" customHeight="1" thickBot="1" x14ac:dyDescent="0.5">
      <c r="B76" s="108" t="s">
        <v>1002</v>
      </c>
      <c r="C76" s="112">
        <v>10</v>
      </c>
      <c r="D76" s="111" t="s">
        <v>1003</v>
      </c>
      <c r="E76" s="3"/>
      <c r="F76" s="5"/>
      <c r="G76" s="5"/>
    </row>
    <row r="77" spans="1:10" ht="26" customHeight="1" thickBot="1" x14ac:dyDescent="0.5">
      <c r="B77" s="106" t="s">
        <v>1004</v>
      </c>
      <c r="C77" s="110">
        <v>100</v>
      </c>
      <c r="D77" s="107" t="s">
        <v>1005</v>
      </c>
      <c r="E77" s="6"/>
      <c r="F77" s="8"/>
      <c r="G77" s="8"/>
    </row>
    <row r="78" spans="1:10" ht="26" customHeight="1" x14ac:dyDescent="0.45">
      <c r="B78" s="5"/>
      <c r="C78" s="114"/>
      <c r="D78" s="18"/>
      <c r="E78" s="3"/>
      <c r="F78" s="5"/>
      <c r="G78" s="5"/>
    </row>
    <row r="79" spans="1:10" ht="26" customHeight="1" thickBot="1" x14ac:dyDescent="0.5">
      <c r="B79" s="113" t="s">
        <v>1006</v>
      </c>
      <c r="C79" s="122">
        <f>IFERROR(INDEX('Radionuclide Data'!H$5:H$24,MATCH(C75,'Radionuclide Data'!B$5:B$24,0)),"Select nuclide")</f>
        <v>13.2</v>
      </c>
      <c r="D79" s="115" t="s">
        <v>1007</v>
      </c>
      <c r="E79" s="25"/>
      <c r="F79" s="24"/>
      <c r="G79" s="24"/>
    </row>
    <row r="80" spans="1:10" ht="14.65" thickBot="1" x14ac:dyDescent="0.5">
      <c r="B80" s="116" t="s">
        <v>1008</v>
      </c>
      <c r="C80" s="123">
        <f>IFERROR(C79*C76/(C77^2),"")</f>
        <v>1.32E-2</v>
      </c>
      <c r="D80" s="80" t="s">
        <v>1009</v>
      </c>
    </row>
    <row r="81" spans="1:10" ht="14.65" thickBot="1" x14ac:dyDescent="0.5">
      <c r="B81" s="116" t="s">
        <v>1008</v>
      </c>
      <c r="C81" s="124">
        <f>IFERROR(C80*0.00873,"")</f>
        <v>1.1523599999999999E-4</v>
      </c>
      <c r="D81" s="80" t="s">
        <v>1010</v>
      </c>
    </row>
    <row r="85" spans="1:10" ht="15.75" x14ac:dyDescent="0.5">
      <c r="A85" s="105" t="s">
        <v>1011</v>
      </c>
      <c r="B85" s="105"/>
      <c r="C85" s="105"/>
      <c r="D85" s="105"/>
      <c r="E85" s="105"/>
      <c r="F85" s="105"/>
      <c r="G85" s="105"/>
      <c r="H85" s="105"/>
      <c r="I85" s="105"/>
      <c r="J85" s="105"/>
    </row>
    <row r="86" spans="1:10" x14ac:dyDescent="0.45">
      <c r="B86" s="136" t="s">
        <v>1066</v>
      </c>
      <c r="C86" s="136"/>
      <c r="D86" s="136"/>
      <c r="E86" s="136"/>
      <c r="F86" s="136"/>
      <c r="G86" s="136"/>
      <c r="H86" s="136"/>
      <c r="I86" s="136"/>
      <c r="J86" s="136"/>
    </row>
    <row r="87" spans="1:10" ht="14.65" thickBot="1" x14ac:dyDescent="0.5">
      <c r="B87" s="116" t="s">
        <v>1012</v>
      </c>
      <c r="C87" s="118">
        <v>50</v>
      </c>
      <c r="D87" s="80" t="s">
        <v>1013</v>
      </c>
    </row>
    <row r="88" spans="1:10" ht="14.65" thickBot="1" x14ac:dyDescent="0.5">
      <c r="B88" s="116" t="s">
        <v>1014</v>
      </c>
      <c r="C88" s="120">
        <v>100</v>
      </c>
      <c r="D88" s="80" t="s">
        <v>1005</v>
      </c>
    </row>
    <row r="89" spans="1:10" ht="14.65" thickBot="1" x14ac:dyDescent="0.5">
      <c r="B89" s="116" t="s">
        <v>1015</v>
      </c>
      <c r="C89" s="119">
        <v>200</v>
      </c>
      <c r="D89" s="80" t="s">
        <v>1005</v>
      </c>
    </row>
    <row r="91" spans="1:10" ht="14.65" thickBot="1" x14ac:dyDescent="0.5">
      <c r="B91" s="116" t="s">
        <v>1016</v>
      </c>
      <c r="C91" s="125">
        <f>IFERROR(C87*(C88/C89)^2,"")</f>
        <v>12.5</v>
      </c>
      <c r="D91" s="80" t="s">
        <v>1017</v>
      </c>
    </row>
    <row r="92" spans="1:10" ht="14.65" thickBot="1" x14ac:dyDescent="0.5">
      <c r="B92" s="116" t="s">
        <v>1018</v>
      </c>
      <c r="C92" s="124">
        <f>IFERROR((C88/C89)^2,"")</f>
        <v>0.25</v>
      </c>
      <c r="D92" s="80" t="s">
        <v>1019</v>
      </c>
    </row>
    <row r="95" spans="1:10" ht="15.75" x14ac:dyDescent="0.5">
      <c r="A95" s="105" t="s">
        <v>1020</v>
      </c>
      <c r="B95" s="105"/>
      <c r="C95" s="105"/>
      <c r="D95" s="105"/>
      <c r="E95" s="105"/>
      <c r="F95" s="105"/>
      <c r="G95" s="105"/>
      <c r="H95" s="105"/>
      <c r="I95" s="105"/>
      <c r="J95" s="105"/>
    </row>
    <row r="96" spans="1:10" x14ac:dyDescent="0.45">
      <c r="B96" s="136" t="s">
        <v>1067</v>
      </c>
      <c r="C96" s="136"/>
      <c r="D96" s="136"/>
      <c r="E96" s="136"/>
      <c r="F96" s="136"/>
      <c r="G96" s="136"/>
      <c r="H96" s="136"/>
      <c r="I96" s="136"/>
      <c r="J96" s="136"/>
    </row>
    <row r="97" spans="1:10" ht="14.65" thickBot="1" x14ac:dyDescent="0.5">
      <c r="B97" s="116" t="s">
        <v>1000</v>
      </c>
      <c r="C97" s="118" t="s">
        <v>971</v>
      </c>
      <c r="D97" s="80" t="s">
        <v>1001</v>
      </c>
    </row>
    <row r="98" spans="1:10" ht="14.65" thickBot="1" x14ac:dyDescent="0.5">
      <c r="B98" s="116" t="s">
        <v>1021</v>
      </c>
      <c r="C98" s="120">
        <v>100</v>
      </c>
      <c r="D98" s="80" t="s">
        <v>1003</v>
      </c>
    </row>
    <row r="99" spans="1:10" ht="14.65" thickBot="1" x14ac:dyDescent="0.5">
      <c r="B99" s="116" t="s">
        <v>1022</v>
      </c>
      <c r="C99" s="120">
        <v>30</v>
      </c>
    </row>
    <row r="100" spans="1:10" ht="14.65" thickBot="1" x14ac:dyDescent="0.5">
      <c r="B100" s="116" t="s">
        <v>1023</v>
      </c>
      <c r="C100" s="119" t="s">
        <v>1063</v>
      </c>
      <c r="D100" s="80" t="s">
        <v>1024</v>
      </c>
    </row>
    <row r="102" spans="1:10" ht="14.65" thickBot="1" x14ac:dyDescent="0.5">
      <c r="B102" s="116" t="s">
        <v>1025</v>
      </c>
      <c r="C102" s="121" t="str">
        <f>IFERROR(INDEX('Radionuclide Data'!C$5:C$24,MATCH(C97,'Radionuclide Data'!B$5:B$24,0)),"Select nuclide")</f>
        <v>30.07 y</v>
      </c>
      <c r="D102" s="80" t="s">
        <v>1026</v>
      </c>
    </row>
    <row r="103" spans="1:10" ht="14.65" thickBot="1" x14ac:dyDescent="0.5">
      <c r="B103" s="116" t="s">
        <v>1027</v>
      </c>
      <c r="C103" s="126">
        <f>IFERROR(INDEX('Radionuclide Data'!E$5:E$24,MATCH(C97,'Radionuclide Data'!B$5:B$24,0)),"")</f>
        <v>7.3070544018547892E-10</v>
      </c>
      <c r="D103" s="80" t="s">
        <v>1028</v>
      </c>
    </row>
    <row r="104" spans="1:10" ht="14.65" thickBot="1" x14ac:dyDescent="0.5">
      <c r="B104" s="116" t="s">
        <v>1029</v>
      </c>
      <c r="C104" s="123">
        <f>IFERROR(C98*EXP(-C103*IF(C100="seconds",C99,IF(C100="minutes",C99*60,IF(C100="hours",C99*3600,IF(C100="days",C99*86400,IF(C100="years",C99*31557600,C99)))))),"")</f>
        <v>50.06844082796961</v>
      </c>
      <c r="D104" s="80" t="s">
        <v>1003</v>
      </c>
    </row>
    <row r="105" spans="1:10" ht="14.65" thickBot="1" x14ac:dyDescent="0.5">
      <c r="B105" s="116" t="s">
        <v>1030</v>
      </c>
      <c r="C105" s="127">
        <f>IFERROR(C104/C98,"")</f>
        <v>0.50068440827969607</v>
      </c>
    </row>
    <row r="106" spans="1:10" ht="14.65" thickBot="1" x14ac:dyDescent="0.5">
      <c r="B106" s="116" t="s">
        <v>1031</v>
      </c>
      <c r="C106" s="128">
        <f>IFERROR(LOG(C105,0.5),"")</f>
        <v>0.99802656546489577</v>
      </c>
    </row>
    <row r="108" spans="1:10" ht="15.75" x14ac:dyDescent="0.5">
      <c r="A108" s="105" t="s">
        <v>1032</v>
      </c>
      <c r="B108" s="105"/>
      <c r="C108" s="105"/>
      <c r="D108" s="105"/>
      <c r="E108" s="105"/>
      <c r="F108" s="105"/>
      <c r="G108" s="105"/>
      <c r="H108" s="105"/>
      <c r="I108" s="105"/>
      <c r="J108" s="105"/>
    </row>
    <row r="109" spans="1:10" x14ac:dyDescent="0.45">
      <c r="B109" s="137" t="s">
        <v>1068</v>
      </c>
      <c r="C109" s="137"/>
      <c r="D109" s="137"/>
      <c r="E109" s="137"/>
      <c r="F109" s="137"/>
      <c r="G109" s="137"/>
      <c r="H109" s="137"/>
      <c r="I109" s="137"/>
      <c r="J109" s="137"/>
    </row>
    <row r="110" spans="1:10" ht="14.65" thickBot="1" x14ac:dyDescent="0.5">
      <c r="B110" s="116" t="s">
        <v>1033</v>
      </c>
      <c r="C110" s="118">
        <v>1000</v>
      </c>
      <c r="D110" s="80" t="s">
        <v>1009</v>
      </c>
    </row>
    <row r="111" spans="1:10" ht="14.65" thickBot="1" x14ac:dyDescent="0.5">
      <c r="B111" s="116" t="s">
        <v>1034</v>
      </c>
      <c r="C111" s="120">
        <v>2</v>
      </c>
      <c r="D111" s="80" t="s">
        <v>1009</v>
      </c>
    </row>
    <row r="112" spans="1:10" ht="14.65" thickBot="1" x14ac:dyDescent="0.5">
      <c r="B112" s="116" t="s">
        <v>1035</v>
      </c>
      <c r="C112" s="119">
        <v>6.2</v>
      </c>
      <c r="D112" s="80" t="s">
        <v>1005</v>
      </c>
    </row>
    <row r="114" spans="1:10" ht="14.65" thickBot="1" x14ac:dyDescent="0.5">
      <c r="B114" s="116" t="s">
        <v>1036</v>
      </c>
      <c r="C114" s="129">
        <f>IFERROR(LOG(C110/C111,2),"")</f>
        <v>8.965784284662087</v>
      </c>
    </row>
    <row r="115" spans="1:10" ht="14.65" thickBot="1" x14ac:dyDescent="0.5">
      <c r="B115" s="116" t="s">
        <v>1037</v>
      </c>
      <c r="C115" s="130">
        <f>IFERROR(C114*C112,"")</f>
        <v>55.587862564904938</v>
      </c>
      <c r="D115" s="80" t="s">
        <v>1005</v>
      </c>
    </row>
    <row r="116" spans="1:10" ht="14.65" thickBot="1" x14ac:dyDescent="0.5">
      <c r="B116" s="116" t="s">
        <v>1038</v>
      </c>
      <c r="C116" s="130">
        <f>IFERROR(C112*LOG(10,2),"")</f>
        <v>20.595954188301651</v>
      </c>
      <c r="D116" s="80" t="s">
        <v>1005</v>
      </c>
    </row>
    <row r="117" spans="1:10" ht="14.65" thickBot="1" x14ac:dyDescent="0.5">
      <c r="B117" s="116" t="s">
        <v>1039</v>
      </c>
      <c r="C117" s="126">
        <f>IFERROR(C111/C110,"")</f>
        <v>2E-3</v>
      </c>
    </row>
    <row r="118" spans="1:10" ht="14.65" thickBot="1" x14ac:dyDescent="0.5">
      <c r="B118" s="116" t="s">
        <v>1040</v>
      </c>
      <c r="C118" s="131">
        <f>IFERROR((1-C117)*100,"")</f>
        <v>99.8</v>
      </c>
      <c r="D118" s="80" t="s">
        <v>1041</v>
      </c>
    </row>
    <row r="121" spans="1:10" ht="15.75" x14ac:dyDescent="0.5">
      <c r="A121" s="105" t="s">
        <v>1042</v>
      </c>
      <c r="B121" s="105"/>
      <c r="C121" s="105"/>
      <c r="D121" s="105"/>
      <c r="E121" s="105"/>
      <c r="F121" s="105"/>
      <c r="G121" s="105"/>
      <c r="H121" s="105"/>
      <c r="I121" s="105"/>
      <c r="J121" s="105"/>
    </row>
    <row r="122" spans="1:10" x14ac:dyDescent="0.45">
      <c r="B122" s="136" t="s">
        <v>1069</v>
      </c>
      <c r="C122" s="136"/>
      <c r="D122" s="136"/>
      <c r="E122" s="136"/>
      <c r="F122" s="136"/>
      <c r="G122" s="136"/>
      <c r="H122" s="136"/>
      <c r="I122" s="136"/>
      <c r="J122" s="136"/>
    </row>
    <row r="123" spans="1:10" ht="14.65" thickBot="1" x14ac:dyDescent="0.5">
      <c r="B123" s="116" t="s">
        <v>1000</v>
      </c>
      <c r="C123" s="118" t="s">
        <v>968</v>
      </c>
      <c r="D123" s="80" t="s">
        <v>1001</v>
      </c>
    </row>
    <row r="124" spans="1:10" ht="14.65" thickBot="1" x14ac:dyDescent="0.5">
      <c r="B124" s="116" t="s">
        <v>1043</v>
      </c>
      <c r="C124" s="120">
        <v>25</v>
      </c>
      <c r="D124" s="80" t="s">
        <v>1044</v>
      </c>
    </row>
    <row r="125" spans="1:10" ht="14.65" thickBot="1" x14ac:dyDescent="0.5">
      <c r="B125" s="116" t="s">
        <v>1045</v>
      </c>
      <c r="C125" s="119" t="s">
        <v>1064</v>
      </c>
      <c r="D125" s="80" t="s">
        <v>1046</v>
      </c>
    </row>
    <row r="127" spans="1:10" ht="14.65" thickBot="1" x14ac:dyDescent="0.5">
      <c r="B127" s="116" t="s">
        <v>1047</v>
      </c>
      <c r="C127" s="132">
        <f>IFERROR(IF(C125="Inhalation",INDEX('Radionuclide Data'!J$5:J$24,MATCH(C123,'Radionuclide Data'!B$5:B$24,0)),INDEX('Radionuclide Data'!K$5:K$24,MATCH(C123,'Radionuclide Data'!B$5:B$24,0))),"Select nuclide")</f>
        <v>50</v>
      </c>
      <c r="D127" s="80" t="s">
        <v>1044</v>
      </c>
    </row>
    <row r="128" spans="1:10" ht="14.65" thickBot="1" x14ac:dyDescent="0.5">
      <c r="B128" s="116" t="s">
        <v>1048</v>
      </c>
      <c r="C128" s="130">
        <f>IFERROR(C124/C127*20,"")</f>
        <v>10</v>
      </c>
      <c r="D128" s="80" t="s">
        <v>1049</v>
      </c>
    </row>
    <row r="129" spans="1:10" ht="14.65" thickBot="1" x14ac:dyDescent="0.5">
      <c r="B129" s="116" t="s">
        <v>1050</v>
      </c>
      <c r="C129" s="123">
        <f>IFERROR(C124/C127,"")</f>
        <v>0.5</v>
      </c>
    </row>
    <row r="130" spans="1:10" ht="14.65" thickBot="1" x14ac:dyDescent="0.5">
      <c r="B130" s="116" t="s">
        <v>1051</v>
      </c>
      <c r="C130" s="117" t="str">
        <f>IFERROR(IF(C129&gt;=1,"⚠ YES — EXCEEDS LIMIT",IF(C129&gt;=0.5,"⚡ CAUTION — &gt;50% of ALI","✓ Within limits")),"")</f>
        <v>⚡ CAUTION — &gt;50% of ALI</v>
      </c>
    </row>
    <row r="134" spans="1:10" ht="15.75" x14ac:dyDescent="0.5">
      <c r="A134" s="105" t="s">
        <v>1052</v>
      </c>
      <c r="B134" s="105"/>
      <c r="C134" s="105"/>
      <c r="D134" s="105"/>
      <c r="E134" s="105"/>
      <c r="F134" s="105"/>
      <c r="G134" s="105"/>
      <c r="H134" s="105"/>
      <c r="I134" s="105"/>
      <c r="J134" s="105"/>
    </row>
    <row r="135" spans="1:10" x14ac:dyDescent="0.45">
      <c r="B135" s="136" t="s">
        <v>1070</v>
      </c>
      <c r="C135" s="136"/>
      <c r="D135" s="136"/>
      <c r="E135" s="136"/>
      <c r="F135" s="136"/>
      <c r="G135" s="136"/>
      <c r="H135" s="136"/>
      <c r="I135" s="136"/>
      <c r="J135" s="136"/>
    </row>
    <row r="136" spans="1:10" ht="14.65" thickBot="1" x14ac:dyDescent="0.5">
      <c r="B136" s="116" t="s">
        <v>1000</v>
      </c>
      <c r="C136" s="118" t="s">
        <v>950</v>
      </c>
      <c r="D136" s="80" t="s">
        <v>1001</v>
      </c>
    </row>
    <row r="137" spans="1:10" ht="14.65" thickBot="1" x14ac:dyDescent="0.5">
      <c r="B137" s="116" t="s">
        <v>1053</v>
      </c>
      <c r="C137" s="120">
        <v>15</v>
      </c>
      <c r="D137" s="80" t="s">
        <v>1044</v>
      </c>
    </row>
    <row r="138" spans="1:10" ht="14.65" thickBot="1" x14ac:dyDescent="0.5">
      <c r="B138" s="116" t="s">
        <v>1054</v>
      </c>
      <c r="C138" s="119">
        <v>9.9999999999999995E-8</v>
      </c>
      <c r="D138" s="80" t="s">
        <v>1055</v>
      </c>
    </row>
    <row r="140" spans="1:10" ht="14.65" thickBot="1" x14ac:dyDescent="0.5">
      <c r="B140" s="116" t="s">
        <v>1056</v>
      </c>
      <c r="C140" s="132">
        <f>IFERROR(INDEX('Radionuclide Data'!J$5:J$24,MATCH(C136,'Radionuclide Data'!B$5:B$24,0)),"")</f>
        <v>30</v>
      </c>
      <c r="D140" s="80" t="s">
        <v>1044</v>
      </c>
    </row>
    <row r="141" spans="1:10" ht="14.65" thickBot="1" x14ac:dyDescent="0.5">
      <c r="B141" s="116" t="s">
        <v>1057</v>
      </c>
      <c r="C141" s="133">
        <f>IFERROR(INDEX('Radionuclide Data'!K$5:K$24,MATCH(C136,'Radionuclide Data'!B$5:B$24,0)),"")</f>
        <v>200</v>
      </c>
      <c r="D141" s="80" t="s">
        <v>1044</v>
      </c>
    </row>
    <row r="142" spans="1:10" ht="14.65" thickBot="1" x14ac:dyDescent="0.5">
      <c r="B142" s="116" t="s">
        <v>1058</v>
      </c>
      <c r="C142" s="126">
        <f>IFERROR(INDEX('Radionuclide Data'!L$5:L$24,MATCH(C136,'Radionuclide Data'!B$5:B$24,0)),"")</f>
        <v>18</v>
      </c>
      <c r="D142" s="80" t="s">
        <v>1055</v>
      </c>
    </row>
    <row r="143" spans="1:10" ht="14.65" thickBot="1" x14ac:dyDescent="0.5">
      <c r="B143" s="116" t="s">
        <v>1059</v>
      </c>
      <c r="C143" s="123">
        <f>IFERROR(C137/C140,"")</f>
        <v>0.5</v>
      </c>
    </row>
    <row r="144" spans="1:10" ht="14.65" thickBot="1" x14ac:dyDescent="0.5">
      <c r="B144" s="116" t="s">
        <v>1060</v>
      </c>
      <c r="C144" s="123">
        <f>IFERROR(C137/C141,"")</f>
        <v>7.4999999999999997E-2</v>
      </c>
    </row>
    <row r="145" spans="2:3" ht="14.65" thickBot="1" x14ac:dyDescent="0.5">
      <c r="B145" s="116" t="s">
        <v>1061</v>
      </c>
      <c r="C145" s="126">
        <f>IFERROR(C138/C142,"")</f>
        <v>5.5555555555555551E-9</v>
      </c>
    </row>
    <row r="146" spans="2:3" ht="14.65" thickBot="1" x14ac:dyDescent="0.5">
      <c r="B146" s="116" t="s">
        <v>1062</v>
      </c>
      <c r="C146" s="117" t="str">
        <f>IFERROR(IF(OR(C143&gt;=1,C144&gt;=1,C145&gt;=1),"⚠ NON-COMPLIANT — Exceeds limit(s)",IF(OR(C143&gt;=0.3,C144&gt;=0.3,C145&gt;=0.3),"⚡ INVESTIGATION LEVEL — &gt;30%","✓ COMPLIANT")),"")</f>
        <v>⚡ INVESTIGATION LEVEL — &gt;30%</v>
      </c>
    </row>
  </sheetData>
  <mergeCells count="18">
    <mergeCell ref="B135:J135"/>
    <mergeCell ref="A121:J121"/>
    <mergeCell ref="A134:J134"/>
    <mergeCell ref="B74:J74"/>
    <mergeCell ref="B86:J86"/>
    <mergeCell ref="B96:J96"/>
    <mergeCell ref="B109:J109"/>
    <mergeCell ref="B122:J122"/>
    <mergeCell ref="B2:J2"/>
    <mergeCell ref="A73:J73"/>
    <mergeCell ref="A85:J85"/>
    <mergeCell ref="A95:J95"/>
    <mergeCell ref="A108:J108"/>
    <mergeCell ref="B3:J3"/>
    <mergeCell ref="B5:J5"/>
    <mergeCell ref="B58:J58"/>
    <mergeCell ref="B18:J18"/>
    <mergeCell ref="B30:J30"/>
  </mergeCells>
  <dataValidations count="3">
    <dataValidation type="list" allowBlank="1" showInputMessage="1" showErrorMessage="1" sqref="C75 C97 C123 C136" xr:uid="{B48A641F-8FBE-4B96-AE22-4F09A28E88AF}">
      <formula1>"H-3,C-14,F-18,P-32,Cr-51,Co-57,Co-60,Ga-67,Sr-90,Tc-99m,I-125,I-131,Cs-137,Ir-192,Tl-201,Ra-226,U-235,U-238,Pu-239,Am-241"</formula1>
    </dataValidation>
    <dataValidation type="list" allowBlank="1" showInputMessage="1" showErrorMessage="1" sqref="C125" xr:uid="{E797EB4B-94DB-41BD-B105-E5289D9434FE}">
      <formula1>"Inhalation,Ingestion"</formula1>
    </dataValidation>
    <dataValidation type="list" allowBlank="1" showInputMessage="1" showErrorMessage="1" sqref="C100" xr:uid="{6EF16B7A-4A2D-424C-908B-EC15065CC700}">
      <formula1>"seconds,minutes,hours,days,years"</formula1>
    </dataValidation>
  </dataValidation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7391"/>
  </sheetPr>
  <dimension ref="B2:I22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3" customWidth="1"/>
    <col min="3" max="3" width="22" customWidth="1"/>
    <col min="4" max="4" width="16" customWidth="1"/>
    <col min="5" max="5" width="52" customWidth="1"/>
    <col min="6" max="6" width="16" customWidth="1"/>
    <col min="7" max="7" width="45" customWidth="1"/>
    <col min="8" max="8" width="44" customWidth="1"/>
    <col min="9" max="9" width="10" customWidth="1"/>
  </cols>
  <sheetData>
    <row r="2" spans="2:9" ht="32" customHeight="1" x14ac:dyDescent="0.45">
      <c r="B2" s="50" t="s">
        <v>436</v>
      </c>
      <c r="C2" s="44"/>
      <c r="D2" s="44"/>
      <c r="E2" s="44"/>
      <c r="F2" s="44"/>
      <c r="G2" s="44"/>
      <c r="H2" s="44"/>
      <c r="I2" s="44"/>
    </row>
    <row r="3" spans="2:9" x14ac:dyDescent="0.45">
      <c r="B3" s="49" t="s">
        <v>437</v>
      </c>
      <c r="C3" s="44"/>
      <c r="D3" s="44"/>
      <c r="E3" s="44"/>
      <c r="F3" s="44"/>
      <c r="G3" s="44"/>
      <c r="H3" s="44"/>
      <c r="I3" s="44"/>
    </row>
    <row r="5" spans="2:9" ht="28.05" customHeight="1" x14ac:dyDescent="0.45">
      <c r="B5" s="2" t="s">
        <v>438</v>
      </c>
      <c r="C5" s="2" t="s">
        <v>439</v>
      </c>
      <c r="D5" s="2" t="s">
        <v>440</v>
      </c>
      <c r="E5" s="2" t="s">
        <v>423</v>
      </c>
      <c r="F5" s="2" t="s">
        <v>441</v>
      </c>
      <c r="G5" s="2" t="s">
        <v>432</v>
      </c>
      <c r="H5" s="2" t="s">
        <v>442</v>
      </c>
    </row>
    <row r="6" spans="2:9" ht="35" customHeight="1" x14ac:dyDescent="0.45">
      <c r="B6" s="26" t="s">
        <v>443</v>
      </c>
      <c r="C6" s="5" t="s">
        <v>444</v>
      </c>
      <c r="D6" s="5" t="s">
        <v>445</v>
      </c>
      <c r="E6" s="5" t="s">
        <v>446</v>
      </c>
      <c r="F6" s="27" t="s">
        <v>447</v>
      </c>
      <c r="G6" s="5" t="s">
        <v>448</v>
      </c>
      <c r="H6" s="4" t="s">
        <v>449</v>
      </c>
    </row>
    <row r="7" spans="2:9" ht="35" customHeight="1" x14ac:dyDescent="0.45">
      <c r="B7" s="26" t="s">
        <v>450</v>
      </c>
      <c r="C7" s="5" t="s">
        <v>444</v>
      </c>
      <c r="D7" s="5" t="s">
        <v>451</v>
      </c>
      <c r="E7" s="5" t="s">
        <v>452</v>
      </c>
      <c r="F7" s="27" t="s">
        <v>453</v>
      </c>
      <c r="G7" s="5" t="s">
        <v>454</v>
      </c>
      <c r="H7" s="4" t="s">
        <v>449</v>
      </c>
    </row>
    <row r="8" spans="2:9" ht="35" customHeight="1" x14ac:dyDescent="0.45">
      <c r="B8" s="28" t="s">
        <v>455</v>
      </c>
      <c r="C8" s="15" t="s">
        <v>444</v>
      </c>
      <c r="D8" s="15" t="s">
        <v>456</v>
      </c>
      <c r="E8" s="15" t="s">
        <v>457</v>
      </c>
      <c r="F8" s="29" t="s">
        <v>458</v>
      </c>
      <c r="G8" s="15" t="s">
        <v>459</v>
      </c>
      <c r="H8" s="17" t="s">
        <v>449</v>
      </c>
    </row>
    <row r="9" spans="2:9" ht="35" customHeight="1" x14ac:dyDescent="0.45">
      <c r="B9" s="28" t="s">
        <v>460</v>
      </c>
      <c r="C9" s="15" t="s">
        <v>461</v>
      </c>
      <c r="D9" s="15" t="s">
        <v>462</v>
      </c>
      <c r="E9" s="15" t="s">
        <v>463</v>
      </c>
      <c r="F9" s="29" t="s">
        <v>464</v>
      </c>
      <c r="G9" s="15" t="s">
        <v>465</v>
      </c>
      <c r="H9" s="17" t="s">
        <v>449</v>
      </c>
    </row>
    <row r="10" spans="2:9" ht="35" customHeight="1" x14ac:dyDescent="0.45">
      <c r="B10" s="26" t="s">
        <v>466</v>
      </c>
      <c r="C10" s="5" t="s">
        <v>461</v>
      </c>
      <c r="D10" s="5" t="s">
        <v>467</v>
      </c>
      <c r="E10" s="5" t="s">
        <v>468</v>
      </c>
      <c r="F10" s="27" t="s">
        <v>469</v>
      </c>
      <c r="G10" s="5" t="s">
        <v>470</v>
      </c>
      <c r="H10" s="4" t="s">
        <v>449</v>
      </c>
    </row>
    <row r="11" spans="2:9" ht="35" customHeight="1" x14ac:dyDescent="0.45">
      <c r="B11" s="28" t="s">
        <v>471</v>
      </c>
      <c r="C11" s="15" t="s">
        <v>472</v>
      </c>
      <c r="D11" s="15" t="s">
        <v>473</v>
      </c>
      <c r="E11" s="15" t="s">
        <v>474</v>
      </c>
      <c r="F11" s="29" t="s">
        <v>475</v>
      </c>
      <c r="G11" s="15" t="s">
        <v>476</v>
      </c>
      <c r="H11" s="17" t="s">
        <v>449</v>
      </c>
    </row>
    <row r="12" spans="2:9" ht="35" customHeight="1" x14ac:dyDescent="0.45">
      <c r="B12" s="26" t="s">
        <v>477</v>
      </c>
      <c r="C12" s="5" t="s">
        <v>478</v>
      </c>
      <c r="D12" s="5" t="s">
        <v>479</v>
      </c>
      <c r="E12" s="5" t="s">
        <v>480</v>
      </c>
      <c r="F12" s="27" t="s">
        <v>481</v>
      </c>
      <c r="G12" s="5" t="s">
        <v>482</v>
      </c>
      <c r="H12" s="4" t="s">
        <v>449</v>
      </c>
    </row>
    <row r="13" spans="2:9" ht="35" customHeight="1" x14ac:dyDescent="0.45">
      <c r="B13" s="26" t="s">
        <v>483</v>
      </c>
      <c r="C13" s="5" t="s">
        <v>484</v>
      </c>
      <c r="D13" s="5" t="s">
        <v>485</v>
      </c>
      <c r="E13" s="5" t="s">
        <v>486</v>
      </c>
      <c r="F13" s="27" t="s">
        <v>487</v>
      </c>
      <c r="G13" s="5" t="s">
        <v>488</v>
      </c>
      <c r="H13" s="4" t="s">
        <v>449</v>
      </c>
    </row>
    <row r="14" spans="2:9" ht="35" customHeight="1" x14ac:dyDescent="0.45">
      <c r="B14" s="26" t="s">
        <v>489</v>
      </c>
      <c r="C14" s="5" t="s">
        <v>490</v>
      </c>
      <c r="D14" s="5" t="s">
        <v>491</v>
      </c>
      <c r="E14" s="5" t="s">
        <v>492</v>
      </c>
      <c r="F14" s="27" t="s">
        <v>493</v>
      </c>
      <c r="G14" s="5" t="s">
        <v>494</v>
      </c>
      <c r="H14" s="4" t="s">
        <v>449</v>
      </c>
    </row>
    <row r="15" spans="2:9" ht="35" customHeight="1" x14ac:dyDescent="0.45">
      <c r="B15" s="26" t="s">
        <v>495</v>
      </c>
      <c r="C15" s="5" t="s">
        <v>444</v>
      </c>
      <c r="D15" s="5" t="s">
        <v>496</v>
      </c>
      <c r="E15" s="5" t="s">
        <v>497</v>
      </c>
      <c r="F15" s="27" t="s">
        <v>498</v>
      </c>
      <c r="G15" s="5" t="s">
        <v>499</v>
      </c>
      <c r="H15" s="4" t="s">
        <v>449</v>
      </c>
    </row>
    <row r="16" spans="2:9" ht="35" customHeight="1" x14ac:dyDescent="0.45">
      <c r="B16" s="28" t="s">
        <v>500</v>
      </c>
      <c r="C16" s="15" t="s">
        <v>501</v>
      </c>
      <c r="D16" s="15" t="s">
        <v>502</v>
      </c>
      <c r="E16" s="15" t="s">
        <v>503</v>
      </c>
      <c r="F16" s="29" t="s">
        <v>504</v>
      </c>
      <c r="G16" s="15" t="s">
        <v>505</v>
      </c>
      <c r="H16" s="17" t="s">
        <v>449</v>
      </c>
    </row>
    <row r="17" spans="2:8" ht="35" customHeight="1" x14ac:dyDescent="0.45">
      <c r="B17" s="26" t="s">
        <v>506</v>
      </c>
      <c r="C17" s="5" t="s">
        <v>507</v>
      </c>
      <c r="D17" s="5" t="s">
        <v>508</v>
      </c>
      <c r="E17" s="5" t="s">
        <v>509</v>
      </c>
      <c r="F17" s="27" t="s">
        <v>510</v>
      </c>
      <c r="G17" s="5" t="s">
        <v>511</v>
      </c>
      <c r="H17" s="4" t="s">
        <v>449</v>
      </c>
    </row>
    <row r="18" spans="2:8" ht="35" customHeight="1" x14ac:dyDescent="0.45">
      <c r="B18" s="26" t="s">
        <v>512</v>
      </c>
      <c r="C18" s="5" t="s">
        <v>507</v>
      </c>
      <c r="D18" s="5" t="s">
        <v>513</v>
      </c>
      <c r="E18" s="5" t="s">
        <v>514</v>
      </c>
      <c r="F18" s="27" t="s">
        <v>515</v>
      </c>
      <c r="G18" s="5" t="s">
        <v>516</v>
      </c>
      <c r="H18" s="4" t="s">
        <v>449</v>
      </c>
    </row>
    <row r="19" spans="2:8" ht="35" customHeight="1" x14ac:dyDescent="0.45">
      <c r="B19" s="26" t="s">
        <v>517</v>
      </c>
      <c r="C19" s="5" t="s">
        <v>518</v>
      </c>
      <c r="D19" s="5" t="s">
        <v>519</v>
      </c>
      <c r="E19" s="5" t="s">
        <v>520</v>
      </c>
      <c r="F19" s="27" t="s">
        <v>521</v>
      </c>
      <c r="G19" s="5" t="s">
        <v>522</v>
      </c>
      <c r="H19" s="4" t="s">
        <v>449</v>
      </c>
    </row>
    <row r="20" spans="2:8" ht="35" customHeight="1" x14ac:dyDescent="0.45">
      <c r="B20" s="26" t="s">
        <v>523</v>
      </c>
      <c r="C20" s="5" t="s">
        <v>524</v>
      </c>
      <c r="D20" s="5" t="s">
        <v>525</v>
      </c>
      <c r="E20" s="5" t="s">
        <v>526</v>
      </c>
      <c r="F20" s="27" t="s">
        <v>527</v>
      </c>
      <c r="G20" s="5" t="s">
        <v>528</v>
      </c>
      <c r="H20" s="4" t="s">
        <v>449</v>
      </c>
    </row>
    <row r="21" spans="2:8" ht="35" customHeight="1" x14ac:dyDescent="0.45">
      <c r="B21" s="26" t="s">
        <v>529</v>
      </c>
      <c r="C21" s="5" t="s">
        <v>530</v>
      </c>
      <c r="D21" s="5" t="s">
        <v>531</v>
      </c>
      <c r="E21" s="5" t="s">
        <v>532</v>
      </c>
      <c r="F21" s="27" t="s">
        <v>533</v>
      </c>
      <c r="G21" s="5" t="s">
        <v>534</v>
      </c>
      <c r="H21" s="4" t="s">
        <v>449</v>
      </c>
    </row>
    <row r="22" spans="2:8" ht="35" customHeight="1" x14ac:dyDescent="0.45">
      <c r="B22" s="26" t="s">
        <v>535</v>
      </c>
      <c r="C22" s="5" t="s">
        <v>444</v>
      </c>
      <c r="D22" s="5" t="s">
        <v>536</v>
      </c>
      <c r="E22" s="5" t="s">
        <v>452</v>
      </c>
      <c r="F22" s="27" t="s">
        <v>537</v>
      </c>
      <c r="G22" s="5" t="s">
        <v>538</v>
      </c>
      <c r="H22" s="4" t="s">
        <v>449</v>
      </c>
    </row>
  </sheetData>
  <mergeCells count="2">
    <mergeCell ref="B3:I3"/>
    <mergeCell ref="B2:I2"/>
  </mergeCells>
  <hyperlinks>
    <hyperlink ref="H6" r:id="rId1" xr:uid="{00000000-0004-0000-0500-000000000000}"/>
    <hyperlink ref="H7" r:id="rId2" xr:uid="{00000000-0004-0000-0500-000001000000}"/>
    <hyperlink ref="H8" r:id="rId3" xr:uid="{00000000-0004-0000-0500-000002000000}"/>
    <hyperlink ref="H9" r:id="rId4" xr:uid="{00000000-0004-0000-0500-000003000000}"/>
    <hyperlink ref="H10" r:id="rId5" xr:uid="{00000000-0004-0000-0500-000004000000}"/>
    <hyperlink ref="H11" r:id="rId6" xr:uid="{00000000-0004-0000-0500-000005000000}"/>
    <hyperlink ref="H12" r:id="rId7" xr:uid="{00000000-0004-0000-0500-000006000000}"/>
    <hyperlink ref="H13" r:id="rId8" xr:uid="{00000000-0004-0000-0500-000007000000}"/>
    <hyperlink ref="H14" r:id="rId9" xr:uid="{00000000-0004-0000-0500-000008000000}"/>
    <hyperlink ref="H15" r:id="rId10" xr:uid="{00000000-0004-0000-0500-000009000000}"/>
    <hyperlink ref="H16" r:id="rId11" xr:uid="{00000000-0004-0000-0500-00000A000000}"/>
    <hyperlink ref="H17" r:id="rId12" xr:uid="{00000000-0004-0000-0500-00000B000000}"/>
    <hyperlink ref="H18" r:id="rId13" xr:uid="{00000000-0004-0000-0500-00000C000000}"/>
    <hyperlink ref="H19" r:id="rId14" xr:uid="{00000000-0004-0000-0500-00000D000000}"/>
    <hyperlink ref="H20" r:id="rId15" xr:uid="{00000000-0004-0000-0500-00000E000000}"/>
    <hyperlink ref="H21" r:id="rId16" xr:uid="{00000000-0004-0000-0500-00000F000000}"/>
    <hyperlink ref="H22" r:id="rId17" xr:uid="{00000000-0004-0000-0500-000010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B134F-7519-4EF6-B3E4-FD5584D9C097}">
  <sheetPr>
    <tabColor rgb="FF7030A0"/>
  </sheetPr>
  <dimension ref="A1:L24"/>
  <sheetViews>
    <sheetView workbookViewId="0">
      <pane ySplit="4" topLeftCell="A5" activePane="bottomLeft" state="frozen"/>
      <selection pane="bottomLeft" sqref="A1:L1"/>
    </sheetView>
  </sheetViews>
  <sheetFormatPr defaultRowHeight="14.25" x14ac:dyDescent="0.45"/>
  <cols>
    <col min="1" max="1" width="21.33203125" customWidth="1"/>
    <col min="2" max="2" width="10.6640625" customWidth="1"/>
    <col min="3" max="3" width="15.1328125" customWidth="1"/>
    <col min="4" max="5" width="17.796875" customWidth="1"/>
    <col min="6" max="6" width="12.46484375" customWidth="1"/>
    <col min="7" max="8" width="19.53125" customWidth="1"/>
    <col min="9" max="9" width="17.796875" customWidth="1"/>
    <col min="10" max="12" width="16" customWidth="1"/>
  </cols>
  <sheetData>
    <row r="1" spans="1:12" ht="18" x14ac:dyDescent="0.55000000000000004">
      <c r="A1" s="82" t="s">
        <v>915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1:12" x14ac:dyDescent="0.45">
      <c r="A2" s="83" t="s">
        <v>916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</row>
    <row r="3" spans="1:12" ht="14.65" thickBot="1" x14ac:dyDescent="0.5"/>
    <row r="4" spans="1:12" x14ac:dyDescent="0.45">
      <c r="A4" s="102" t="s">
        <v>917</v>
      </c>
      <c r="B4" s="103" t="s">
        <v>357</v>
      </c>
      <c r="C4" s="103" t="s">
        <v>918</v>
      </c>
      <c r="D4" s="103" t="s">
        <v>919</v>
      </c>
      <c r="E4" s="103" t="s">
        <v>920</v>
      </c>
      <c r="F4" s="103" t="s">
        <v>921</v>
      </c>
      <c r="G4" s="103" t="s">
        <v>922</v>
      </c>
      <c r="H4" s="103" t="s">
        <v>923</v>
      </c>
      <c r="I4" s="103" t="s">
        <v>924</v>
      </c>
      <c r="J4" s="103" t="s">
        <v>925</v>
      </c>
      <c r="K4" s="103" t="s">
        <v>926</v>
      </c>
      <c r="L4" s="104" t="s">
        <v>927</v>
      </c>
    </row>
    <row r="5" spans="1:12" x14ac:dyDescent="0.45">
      <c r="A5" s="92" t="s">
        <v>928</v>
      </c>
      <c r="B5" s="84" t="s">
        <v>929</v>
      </c>
      <c r="C5" s="84" t="s">
        <v>930</v>
      </c>
      <c r="D5" s="85">
        <v>388800000</v>
      </c>
      <c r="E5" s="85">
        <f>LN(2)/D5</f>
        <v>1.782785958230312E-9</v>
      </c>
      <c r="F5" s="84" t="s">
        <v>931</v>
      </c>
      <c r="G5" s="86" t="s">
        <v>11</v>
      </c>
      <c r="H5" s="84" t="s">
        <v>11</v>
      </c>
      <c r="I5" s="87">
        <v>9700</v>
      </c>
      <c r="J5" s="84">
        <v>80000</v>
      </c>
      <c r="K5" s="84">
        <v>80000</v>
      </c>
      <c r="L5" s="94">
        <v>2.0000000000000002E-5</v>
      </c>
    </row>
    <row r="6" spans="1:12" x14ac:dyDescent="0.45">
      <c r="A6" s="93" t="s">
        <v>932</v>
      </c>
      <c r="B6" s="88" t="s">
        <v>933</v>
      </c>
      <c r="C6" s="88" t="s">
        <v>934</v>
      </c>
      <c r="D6" s="89">
        <v>180700000000</v>
      </c>
      <c r="E6" s="89">
        <f>LN(2)/D6</f>
        <v>3.8359002798004716E-12</v>
      </c>
      <c r="F6" s="88" t="s">
        <v>931</v>
      </c>
      <c r="G6" s="90" t="s">
        <v>11</v>
      </c>
      <c r="H6" s="88" t="s">
        <v>11</v>
      </c>
      <c r="I6" s="91">
        <v>4.46</v>
      </c>
      <c r="J6" s="88">
        <v>2000</v>
      </c>
      <c r="K6" s="88">
        <v>2000</v>
      </c>
      <c r="L6" s="95">
        <v>16</v>
      </c>
    </row>
    <row r="7" spans="1:12" x14ac:dyDescent="0.45">
      <c r="A7" s="92" t="s">
        <v>935</v>
      </c>
      <c r="B7" s="84" t="s">
        <v>936</v>
      </c>
      <c r="C7" s="84" t="s">
        <v>937</v>
      </c>
      <c r="D7" s="85">
        <v>6586.2</v>
      </c>
      <c r="E7" s="85">
        <f>LN(2)/D7</f>
        <v>1.0524235227596267E-4</v>
      </c>
      <c r="F7" s="84" t="s">
        <v>938</v>
      </c>
      <c r="G7" s="86">
        <v>0.51100000000000001</v>
      </c>
      <c r="H7" s="84">
        <v>5.73</v>
      </c>
      <c r="I7" s="87">
        <v>95200000</v>
      </c>
      <c r="J7" s="84">
        <v>40000</v>
      </c>
      <c r="K7" s="84">
        <v>60000</v>
      </c>
      <c r="L7" s="94">
        <v>2.0000000000000002E-5</v>
      </c>
    </row>
    <row r="8" spans="1:12" x14ac:dyDescent="0.45">
      <c r="A8" s="93" t="s">
        <v>939</v>
      </c>
      <c r="B8" s="88" t="s">
        <v>940</v>
      </c>
      <c r="C8" s="88" t="s">
        <v>941</v>
      </c>
      <c r="D8" s="89">
        <v>1231900</v>
      </c>
      <c r="E8" s="89">
        <f>LN(2)/D8</f>
        <v>5.626651356116124E-7</v>
      </c>
      <c r="F8" s="88" t="s">
        <v>931</v>
      </c>
      <c r="G8" s="90" t="s">
        <v>11</v>
      </c>
      <c r="H8" s="88" t="s">
        <v>11</v>
      </c>
      <c r="I8" s="91">
        <v>285700</v>
      </c>
      <c r="J8" s="88">
        <v>600</v>
      </c>
      <c r="K8" s="88">
        <v>900</v>
      </c>
      <c r="L8" s="95">
        <v>37</v>
      </c>
    </row>
    <row r="9" spans="1:12" x14ac:dyDescent="0.45">
      <c r="A9" s="92" t="s">
        <v>942</v>
      </c>
      <c r="B9" s="84" t="s">
        <v>943</v>
      </c>
      <c r="C9" s="84" t="s">
        <v>944</v>
      </c>
      <c r="D9" s="85">
        <v>2393300</v>
      </c>
      <c r="E9" s="85">
        <f>LN(2)/D9</f>
        <v>2.8961984730704272E-7</v>
      </c>
      <c r="F9" s="84" t="s">
        <v>945</v>
      </c>
      <c r="G9" s="86">
        <v>0.32</v>
      </c>
      <c r="H9" s="84">
        <v>0.18</v>
      </c>
      <c r="I9" s="87">
        <v>92400</v>
      </c>
      <c r="J9" s="84">
        <v>40000</v>
      </c>
      <c r="K9" s="84">
        <v>50000</v>
      </c>
      <c r="L9" s="94">
        <v>2.0000000000000002E-5</v>
      </c>
    </row>
    <row r="10" spans="1:12" x14ac:dyDescent="0.45">
      <c r="A10" s="93" t="s">
        <v>946</v>
      </c>
      <c r="B10" s="88" t="s">
        <v>947</v>
      </c>
      <c r="C10" s="88" t="s">
        <v>948</v>
      </c>
      <c r="D10" s="89">
        <v>23478300</v>
      </c>
      <c r="E10" s="89">
        <f>LN(2)/D10</f>
        <v>2.9522886263483527E-8</v>
      </c>
      <c r="F10" s="88" t="s">
        <v>945</v>
      </c>
      <c r="G10" s="90">
        <v>0.122</v>
      </c>
      <c r="H10" s="88">
        <v>0.56000000000000005</v>
      </c>
      <c r="I10" s="91">
        <v>8460</v>
      </c>
      <c r="J10" s="88">
        <v>6000</v>
      </c>
      <c r="K10" s="88">
        <v>10000</v>
      </c>
      <c r="L10" s="95">
        <v>26</v>
      </c>
    </row>
    <row r="11" spans="1:12" x14ac:dyDescent="0.45">
      <c r="A11" s="92" t="s">
        <v>949</v>
      </c>
      <c r="B11" s="84" t="s">
        <v>950</v>
      </c>
      <c r="C11" s="84" t="s">
        <v>951</v>
      </c>
      <c r="D11" s="85">
        <v>166300000</v>
      </c>
      <c r="E11" s="85">
        <f>LN(2)/D11</f>
        <v>4.1680527995186123E-9</v>
      </c>
      <c r="F11" s="84" t="s">
        <v>931</v>
      </c>
      <c r="G11" s="86" t="s">
        <v>952</v>
      </c>
      <c r="H11" s="84">
        <v>13.2</v>
      </c>
      <c r="I11" s="87">
        <v>1131</v>
      </c>
      <c r="J11" s="84">
        <v>30</v>
      </c>
      <c r="K11" s="84">
        <v>200</v>
      </c>
      <c r="L11" s="94">
        <v>18</v>
      </c>
    </row>
    <row r="12" spans="1:12" x14ac:dyDescent="0.45">
      <c r="A12" s="93" t="s">
        <v>953</v>
      </c>
      <c r="B12" s="88" t="s">
        <v>954</v>
      </c>
      <c r="C12" s="88" t="s">
        <v>955</v>
      </c>
      <c r="D12" s="89">
        <v>281800</v>
      </c>
      <c r="E12" s="89">
        <f>LN(2)/D12</f>
        <v>2.4597132028386987E-6</v>
      </c>
      <c r="F12" s="88" t="s">
        <v>945</v>
      </c>
      <c r="G12" s="90" t="s">
        <v>956</v>
      </c>
      <c r="H12" s="88">
        <v>0.76</v>
      </c>
      <c r="I12" s="91">
        <v>597000</v>
      </c>
      <c r="J12" s="88">
        <v>9000</v>
      </c>
      <c r="K12" s="88">
        <v>9000</v>
      </c>
      <c r="L12" s="95">
        <v>46</v>
      </c>
    </row>
    <row r="13" spans="1:12" x14ac:dyDescent="0.45">
      <c r="A13" s="92" t="s">
        <v>957</v>
      </c>
      <c r="B13" s="84" t="s">
        <v>958</v>
      </c>
      <c r="C13" s="84" t="s">
        <v>959</v>
      </c>
      <c r="D13" s="85">
        <v>908400000</v>
      </c>
      <c r="E13" s="85">
        <f>LN(2)/D13</f>
        <v>7.6304181039183761E-10</v>
      </c>
      <c r="F13" s="84" t="s">
        <v>931</v>
      </c>
      <c r="G13" s="86" t="s">
        <v>11</v>
      </c>
      <c r="H13" s="84" t="s">
        <v>11</v>
      </c>
      <c r="I13" s="87">
        <v>137</v>
      </c>
      <c r="J13" s="84">
        <v>20</v>
      </c>
      <c r="K13" s="84">
        <v>30</v>
      </c>
      <c r="L13" s="94">
        <v>89</v>
      </c>
    </row>
    <row r="14" spans="1:12" x14ac:dyDescent="0.45">
      <c r="A14" s="93" t="s">
        <v>960</v>
      </c>
      <c r="B14" s="88" t="s">
        <v>961</v>
      </c>
      <c r="C14" s="88" t="s">
        <v>962</v>
      </c>
      <c r="D14" s="89">
        <v>21636</v>
      </c>
      <c r="E14" s="89">
        <f>LN(2)/D14</f>
        <v>3.2036752660378321E-5</v>
      </c>
      <c r="F14" s="88" t="s">
        <v>963</v>
      </c>
      <c r="G14" s="90">
        <v>0.14000000000000001</v>
      </c>
      <c r="H14" s="88">
        <v>0.78</v>
      </c>
      <c r="I14" s="91">
        <v>5270000</v>
      </c>
      <c r="J14" s="88">
        <v>200000</v>
      </c>
      <c r="K14" s="88">
        <v>200000</v>
      </c>
      <c r="L14" s="95">
        <v>8.0000000000000007E-5</v>
      </c>
    </row>
    <row r="15" spans="1:12" x14ac:dyDescent="0.45">
      <c r="A15" s="92" t="s">
        <v>964</v>
      </c>
      <c r="B15" s="84" t="s">
        <v>965</v>
      </c>
      <c r="C15" s="84" t="s">
        <v>966</v>
      </c>
      <c r="D15" s="85">
        <v>5132200</v>
      </c>
      <c r="E15" s="85">
        <f>LN(2)/D15</f>
        <v>1.3505848964575528E-7</v>
      </c>
      <c r="F15" s="84" t="s">
        <v>945</v>
      </c>
      <c r="G15" s="86">
        <v>3.5000000000000003E-2</v>
      </c>
      <c r="H15" s="84">
        <v>0.7</v>
      </c>
      <c r="I15" s="87">
        <v>17400</v>
      </c>
      <c r="J15" s="84">
        <v>60</v>
      </c>
      <c r="K15" s="84">
        <v>40</v>
      </c>
      <c r="L15" s="94">
        <v>38</v>
      </c>
    </row>
    <row r="16" spans="1:12" x14ac:dyDescent="0.45">
      <c r="A16" s="93" t="s">
        <v>967</v>
      </c>
      <c r="B16" s="88" t="s">
        <v>968</v>
      </c>
      <c r="C16" s="88" t="s">
        <v>969</v>
      </c>
      <c r="D16" s="89">
        <v>693400</v>
      </c>
      <c r="E16" s="89">
        <f>LN(2)/D16</f>
        <v>9.9963539163534086E-7</v>
      </c>
      <c r="F16" s="88" t="s">
        <v>931</v>
      </c>
      <c r="G16" s="90">
        <v>0.36399999999999999</v>
      </c>
      <c r="H16" s="88">
        <v>2.17</v>
      </c>
      <c r="I16" s="91">
        <v>124000</v>
      </c>
      <c r="J16" s="88">
        <v>50</v>
      </c>
      <c r="K16" s="88">
        <v>30</v>
      </c>
      <c r="L16" s="95">
        <v>28</v>
      </c>
    </row>
    <row r="17" spans="1:12" x14ac:dyDescent="0.45">
      <c r="A17" s="92" t="s">
        <v>970</v>
      </c>
      <c r="B17" s="84" t="s">
        <v>971</v>
      </c>
      <c r="C17" s="84" t="s">
        <v>972</v>
      </c>
      <c r="D17" s="85">
        <v>948600000</v>
      </c>
      <c r="E17" s="85">
        <f>LN(2)/D17</f>
        <v>7.3070544018547892E-10</v>
      </c>
      <c r="F17" s="84" t="s">
        <v>931</v>
      </c>
      <c r="G17" s="86">
        <v>0.66200000000000003</v>
      </c>
      <c r="H17" s="84">
        <v>3.26</v>
      </c>
      <c r="I17" s="87">
        <v>86.8</v>
      </c>
      <c r="J17" s="84">
        <v>200</v>
      </c>
      <c r="K17" s="84">
        <v>100</v>
      </c>
      <c r="L17" s="94">
        <v>68</v>
      </c>
    </row>
    <row r="18" spans="1:12" x14ac:dyDescent="0.45">
      <c r="A18" s="93" t="s">
        <v>973</v>
      </c>
      <c r="B18" s="88" t="s">
        <v>974</v>
      </c>
      <c r="C18" s="88" t="s">
        <v>975</v>
      </c>
      <c r="D18" s="89">
        <v>6379000</v>
      </c>
      <c r="E18" s="89">
        <f>LN(2)/D18</f>
        <v>1.0866079018027046E-7</v>
      </c>
      <c r="F18" s="88" t="s">
        <v>976</v>
      </c>
      <c r="G18" s="90" t="s">
        <v>977</v>
      </c>
      <c r="H18" s="88">
        <v>4.6900000000000004</v>
      </c>
      <c r="I18" s="91">
        <v>9210</v>
      </c>
      <c r="J18" s="88">
        <v>300</v>
      </c>
      <c r="K18" s="88">
        <v>400</v>
      </c>
      <c r="L18" s="95">
        <v>17</v>
      </c>
    </row>
    <row r="19" spans="1:12" x14ac:dyDescent="0.45">
      <c r="A19" s="92" t="s">
        <v>978</v>
      </c>
      <c r="B19" s="84" t="s">
        <v>979</v>
      </c>
      <c r="C19" s="84" t="s">
        <v>980</v>
      </c>
      <c r="D19" s="85">
        <v>262500</v>
      </c>
      <c r="E19" s="85">
        <f>LN(2)/D19</f>
        <v>2.6405606878474107E-6</v>
      </c>
      <c r="F19" s="84" t="s">
        <v>945</v>
      </c>
      <c r="G19" s="86" t="s">
        <v>981</v>
      </c>
      <c r="H19" s="84">
        <v>0.45</v>
      </c>
      <c r="I19" s="87">
        <v>636000</v>
      </c>
      <c r="J19" s="84">
        <v>30000</v>
      </c>
      <c r="K19" s="84">
        <v>40000</v>
      </c>
      <c r="L19" s="94">
        <v>1.0000000000000001E-5</v>
      </c>
    </row>
    <row r="20" spans="1:12" x14ac:dyDescent="0.45">
      <c r="A20" s="93" t="s">
        <v>982</v>
      </c>
      <c r="B20" s="88" t="s">
        <v>983</v>
      </c>
      <c r="C20" s="88" t="s">
        <v>984</v>
      </c>
      <c r="D20" s="89">
        <v>50460000000</v>
      </c>
      <c r="E20" s="89">
        <f>LN(2)/D20</f>
        <v>1.3736567193023093E-11</v>
      </c>
      <c r="F20" s="88" t="s">
        <v>985</v>
      </c>
      <c r="G20" s="90" t="s">
        <v>986</v>
      </c>
      <c r="H20" s="88">
        <v>8.25</v>
      </c>
      <c r="I20" s="91">
        <v>0.98899999999999999</v>
      </c>
      <c r="J20" s="88">
        <v>3</v>
      </c>
      <c r="K20" s="88">
        <v>5</v>
      </c>
      <c r="L20" s="95">
        <v>19</v>
      </c>
    </row>
    <row r="21" spans="1:12" x14ac:dyDescent="0.45">
      <c r="A21" s="92" t="s">
        <v>987</v>
      </c>
      <c r="B21" s="84" t="s">
        <v>988</v>
      </c>
      <c r="C21" s="84" t="s">
        <v>989</v>
      </c>
      <c r="D21" s="85">
        <v>2.2216</v>
      </c>
      <c r="E21" s="85">
        <f>LN(2)/D21</f>
        <v>0.31200359225780755</v>
      </c>
      <c r="F21" s="84" t="s">
        <v>985</v>
      </c>
      <c r="G21" s="86">
        <v>0.186</v>
      </c>
      <c r="H21" s="84">
        <v>0.15</v>
      </c>
      <c r="I21" s="87">
        <v>2.1760000000000002</v>
      </c>
      <c r="J21" s="84">
        <v>0.2</v>
      </c>
      <c r="K21" s="84">
        <v>0.6</v>
      </c>
      <c r="L21" s="94">
        <v>811</v>
      </c>
    </row>
    <row r="22" spans="1:12" x14ac:dyDescent="0.45">
      <c r="A22" s="93" t="s">
        <v>990</v>
      </c>
      <c r="B22" s="88" t="s">
        <v>991</v>
      </c>
      <c r="C22" s="88" t="s">
        <v>992</v>
      </c>
      <c r="D22" s="89">
        <v>1.4117</v>
      </c>
      <c r="E22" s="89">
        <f>LN(2)/D22</f>
        <v>0.49100175714383038</v>
      </c>
      <c r="F22" s="88" t="s">
        <v>985</v>
      </c>
      <c r="G22" s="90" t="s">
        <v>11</v>
      </c>
      <c r="H22" s="88" t="s">
        <v>11</v>
      </c>
      <c r="I22" s="91">
        <v>3.367</v>
      </c>
      <c r="J22" s="88">
        <v>0.2</v>
      </c>
      <c r="K22" s="88">
        <v>0.6</v>
      </c>
      <c r="L22" s="95">
        <v>611</v>
      </c>
    </row>
    <row r="23" spans="1:12" x14ac:dyDescent="0.45">
      <c r="A23" s="92" t="s">
        <v>993</v>
      </c>
      <c r="B23" s="84" t="s">
        <v>994</v>
      </c>
      <c r="C23" s="84" t="s">
        <v>995</v>
      </c>
      <c r="D23" s="85">
        <v>760600000000</v>
      </c>
      <c r="E23" s="85">
        <f>LN(2)/D23</f>
        <v>9.113163036549372E-13</v>
      </c>
      <c r="F23" s="84" t="s">
        <v>985</v>
      </c>
      <c r="G23" s="86" t="s">
        <v>11</v>
      </c>
      <c r="H23" s="84" t="s">
        <v>11</v>
      </c>
      <c r="I23" s="87">
        <v>6.2100000000000002E-2</v>
      </c>
      <c r="J23" s="84">
        <v>6.0000000000000001E-3</v>
      </c>
      <c r="K23" s="84">
        <v>0.04</v>
      </c>
      <c r="L23" s="94">
        <v>312</v>
      </c>
    </row>
    <row r="24" spans="1:12" ht="14.65" thickBot="1" x14ac:dyDescent="0.5">
      <c r="A24" s="96" t="s">
        <v>996</v>
      </c>
      <c r="B24" s="97" t="s">
        <v>997</v>
      </c>
      <c r="C24" s="97" t="s">
        <v>998</v>
      </c>
      <c r="D24" s="98">
        <v>13630000000</v>
      </c>
      <c r="E24" s="98">
        <f>LN(2)/D24</f>
        <v>5.0854525352894002E-11</v>
      </c>
      <c r="F24" s="97" t="s">
        <v>985</v>
      </c>
      <c r="G24" s="99">
        <v>5.9499999999999997E-2</v>
      </c>
      <c r="H24" s="97">
        <v>0.14000000000000001</v>
      </c>
      <c r="I24" s="100">
        <v>3.43</v>
      </c>
      <c r="J24" s="97">
        <v>6.0000000000000001E-3</v>
      </c>
      <c r="K24" s="97">
        <v>0.04</v>
      </c>
      <c r="L24" s="101">
        <v>312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07595-1515-439E-8631-19B73BD32107}">
  <dimension ref="A1:N152"/>
  <sheetViews>
    <sheetView tabSelected="1" workbookViewId="0">
      <pane ySplit="5" topLeftCell="A110" activePane="bottomLeft" state="frozen"/>
      <selection pane="bottomLeft" activeCell="G13" sqref="G13"/>
    </sheetView>
  </sheetViews>
  <sheetFormatPr defaultRowHeight="14.25" x14ac:dyDescent="0.45"/>
  <cols>
    <col min="1" max="1" width="24.86328125" customWidth="1"/>
    <col min="2" max="2" width="28.46484375" customWidth="1"/>
    <col min="3" max="3" width="12.46484375" customWidth="1"/>
    <col min="4" max="6" width="7.1328125" style="158" customWidth="1"/>
    <col min="7" max="7" width="24.86328125" customWidth="1"/>
    <col min="8" max="8" width="12.46484375" style="158" customWidth="1"/>
    <col min="9" max="9" width="17.796875" style="158" customWidth="1"/>
    <col min="10" max="10" width="21.33203125" style="160" customWidth="1"/>
    <col min="11" max="11" width="28.46484375" customWidth="1"/>
    <col min="12" max="12" width="35.53125" customWidth="1"/>
    <col min="13" max="13" width="9.796875" style="158" customWidth="1"/>
    <col min="14" max="14" width="71.1328125" style="149" customWidth="1"/>
  </cols>
  <sheetData>
    <row r="1" spans="1:14" ht="25.05" customHeight="1" x14ac:dyDescent="0.5">
      <c r="A1" s="153" t="s">
        <v>1082</v>
      </c>
    </row>
    <row r="2" spans="1:14" x14ac:dyDescent="0.45">
      <c r="A2" s="154" t="s">
        <v>1083</v>
      </c>
    </row>
    <row r="3" spans="1:14" ht="20" customHeight="1" x14ac:dyDescent="0.45">
      <c r="A3" s="81" t="s">
        <v>1084</v>
      </c>
    </row>
    <row r="5" spans="1:14" ht="14.65" thickBot="1" x14ac:dyDescent="0.5">
      <c r="A5" s="192" t="s">
        <v>1085</v>
      </c>
      <c r="B5" s="193" t="s">
        <v>917</v>
      </c>
      <c r="C5" s="193" t="s">
        <v>357</v>
      </c>
      <c r="D5" s="193" t="s">
        <v>1086</v>
      </c>
      <c r="E5" s="193" t="s">
        <v>1087</v>
      </c>
      <c r="F5" s="193" t="s">
        <v>1088</v>
      </c>
      <c r="G5" s="193" t="s">
        <v>918</v>
      </c>
      <c r="H5" s="193" t="s">
        <v>921</v>
      </c>
      <c r="I5" s="193" t="s">
        <v>1089</v>
      </c>
      <c r="J5" s="194" t="s">
        <v>1090</v>
      </c>
      <c r="K5" s="193" t="s">
        <v>922</v>
      </c>
      <c r="L5" s="193" t="s">
        <v>1091</v>
      </c>
      <c r="M5" s="193" t="s">
        <v>1092</v>
      </c>
      <c r="N5" s="200" t="s">
        <v>1093</v>
      </c>
    </row>
    <row r="6" spans="1:14" x14ac:dyDescent="0.45">
      <c r="A6" s="188" t="s">
        <v>1094</v>
      </c>
      <c r="B6" s="189"/>
      <c r="C6" s="189"/>
      <c r="D6" s="190"/>
      <c r="E6" s="190"/>
      <c r="F6" s="190"/>
      <c r="G6" s="189"/>
      <c r="H6" s="190"/>
      <c r="I6" s="190"/>
      <c r="J6" s="191"/>
      <c r="K6" s="189"/>
      <c r="L6" s="189"/>
      <c r="M6" s="190"/>
      <c r="N6" s="201" t="s">
        <v>1095</v>
      </c>
    </row>
    <row r="7" spans="1:14" x14ac:dyDescent="0.45">
      <c r="A7" s="165" t="s">
        <v>1096</v>
      </c>
      <c r="B7" s="166" t="s">
        <v>990</v>
      </c>
      <c r="C7" s="166" t="s">
        <v>991</v>
      </c>
      <c r="D7" s="167">
        <v>92</v>
      </c>
      <c r="E7" s="167">
        <v>238</v>
      </c>
      <c r="F7" s="167">
        <v>146</v>
      </c>
      <c r="G7" s="166" t="s">
        <v>1097</v>
      </c>
      <c r="H7" s="167" t="s">
        <v>985</v>
      </c>
      <c r="I7" s="168">
        <v>1</v>
      </c>
      <c r="J7" s="169">
        <v>4.2699999999999996</v>
      </c>
      <c r="K7" s="166">
        <v>4.9000000000000002E-2</v>
      </c>
      <c r="L7" s="166" t="s">
        <v>1098</v>
      </c>
      <c r="M7" s="167">
        <v>1</v>
      </c>
      <c r="N7" s="202" t="s">
        <v>1099</v>
      </c>
    </row>
    <row r="8" spans="1:14" x14ac:dyDescent="0.45">
      <c r="A8" s="165" t="s">
        <v>1096</v>
      </c>
      <c r="B8" s="166" t="s">
        <v>1100</v>
      </c>
      <c r="C8" s="166" t="s">
        <v>1098</v>
      </c>
      <c r="D8" s="167">
        <v>90</v>
      </c>
      <c r="E8" s="167">
        <v>234</v>
      </c>
      <c r="F8" s="167">
        <v>144</v>
      </c>
      <c r="G8" s="166" t="s">
        <v>1101</v>
      </c>
      <c r="H8" s="167" t="s">
        <v>931</v>
      </c>
      <c r="I8" s="168">
        <v>1</v>
      </c>
      <c r="J8" s="169">
        <v>0.19800000000000001</v>
      </c>
      <c r="K8" s="166">
        <v>9.2999999999999999E-2</v>
      </c>
      <c r="L8" s="166" t="s">
        <v>1102</v>
      </c>
      <c r="M8" s="167">
        <v>2</v>
      </c>
      <c r="N8" s="202" t="s">
        <v>1103</v>
      </c>
    </row>
    <row r="9" spans="1:14" x14ac:dyDescent="0.45">
      <c r="A9" s="165" t="s">
        <v>1096</v>
      </c>
      <c r="B9" s="166" t="s">
        <v>1104</v>
      </c>
      <c r="C9" s="166" t="s">
        <v>1102</v>
      </c>
      <c r="D9" s="167">
        <v>91</v>
      </c>
      <c r="E9" s="167">
        <v>234</v>
      </c>
      <c r="F9" s="167">
        <v>143</v>
      </c>
      <c r="G9" s="166" t="s">
        <v>1105</v>
      </c>
      <c r="H9" s="167" t="s">
        <v>931</v>
      </c>
      <c r="I9" s="170">
        <v>0.99839999999999995</v>
      </c>
      <c r="J9" s="169">
        <v>2.29</v>
      </c>
      <c r="K9" s="166">
        <v>1.0009999999999999</v>
      </c>
      <c r="L9" s="166" t="s">
        <v>1106</v>
      </c>
      <c r="M9" s="167">
        <v>3</v>
      </c>
      <c r="N9" s="202" t="s">
        <v>1107</v>
      </c>
    </row>
    <row r="10" spans="1:14" x14ac:dyDescent="0.45">
      <c r="A10" s="165" t="s">
        <v>1096</v>
      </c>
      <c r="B10" s="166" t="s">
        <v>1108</v>
      </c>
      <c r="C10" s="166" t="s">
        <v>1106</v>
      </c>
      <c r="D10" s="167">
        <v>92</v>
      </c>
      <c r="E10" s="167">
        <v>234</v>
      </c>
      <c r="F10" s="167">
        <v>142</v>
      </c>
      <c r="G10" s="166" t="s">
        <v>1109</v>
      </c>
      <c r="H10" s="167" t="s">
        <v>985</v>
      </c>
      <c r="I10" s="168">
        <v>1</v>
      </c>
      <c r="J10" s="169">
        <v>4.859</v>
      </c>
      <c r="K10" s="166">
        <v>5.2999999999999999E-2</v>
      </c>
      <c r="L10" s="166" t="s">
        <v>1110</v>
      </c>
      <c r="M10" s="167">
        <v>4</v>
      </c>
      <c r="N10" s="202" t="s">
        <v>1111</v>
      </c>
    </row>
    <row r="11" spans="1:14" x14ac:dyDescent="0.45">
      <c r="A11" s="165" t="s">
        <v>1096</v>
      </c>
      <c r="B11" s="166" t="s">
        <v>1112</v>
      </c>
      <c r="C11" s="166" t="s">
        <v>1110</v>
      </c>
      <c r="D11" s="167">
        <v>90</v>
      </c>
      <c r="E11" s="167">
        <v>230</v>
      </c>
      <c r="F11" s="167">
        <v>140</v>
      </c>
      <c r="G11" s="166" t="s">
        <v>1113</v>
      </c>
      <c r="H11" s="167" t="s">
        <v>985</v>
      </c>
      <c r="I11" s="168">
        <v>1</v>
      </c>
      <c r="J11" s="169">
        <v>4.7699999999999996</v>
      </c>
      <c r="K11" s="166">
        <v>6.8000000000000005E-2</v>
      </c>
      <c r="L11" s="166" t="s">
        <v>983</v>
      </c>
      <c r="M11" s="167">
        <v>5</v>
      </c>
      <c r="N11" s="202" t="s">
        <v>1114</v>
      </c>
    </row>
    <row r="12" spans="1:14" x14ac:dyDescent="0.45">
      <c r="A12" s="165" t="s">
        <v>1096</v>
      </c>
      <c r="B12" s="166" t="s">
        <v>982</v>
      </c>
      <c r="C12" s="166" t="s">
        <v>983</v>
      </c>
      <c r="D12" s="167">
        <v>88</v>
      </c>
      <c r="E12" s="167">
        <v>226</v>
      </c>
      <c r="F12" s="167">
        <v>138</v>
      </c>
      <c r="G12" s="166" t="s">
        <v>984</v>
      </c>
      <c r="H12" s="167" t="s">
        <v>985</v>
      </c>
      <c r="I12" s="168">
        <v>1</v>
      </c>
      <c r="J12" s="169">
        <v>4.8710000000000004</v>
      </c>
      <c r="K12" s="166">
        <v>0.186</v>
      </c>
      <c r="L12" s="166" t="s">
        <v>1115</v>
      </c>
      <c r="M12" s="167">
        <v>6</v>
      </c>
      <c r="N12" s="202" t="s">
        <v>1116</v>
      </c>
    </row>
    <row r="13" spans="1:14" x14ac:dyDescent="0.45">
      <c r="A13" s="165" t="s">
        <v>1096</v>
      </c>
      <c r="B13" s="166" t="s">
        <v>1117</v>
      </c>
      <c r="C13" s="166" t="s">
        <v>1115</v>
      </c>
      <c r="D13" s="167">
        <v>86</v>
      </c>
      <c r="E13" s="167">
        <v>222</v>
      </c>
      <c r="F13" s="167">
        <v>136</v>
      </c>
      <c r="G13" s="166" t="s">
        <v>1118</v>
      </c>
      <c r="H13" s="167" t="s">
        <v>985</v>
      </c>
      <c r="I13" s="168">
        <v>1</v>
      </c>
      <c r="J13" s="169">
        <v>5.59</v>
      </c>
      <c r="K13" s="166">
        <v>0.51</v>
      </c>
      <c r="L13" s="166" t="s">
        <v>1119</v>
      </c>
      <c r="M13" s="167">
        <v>7</v>
      </c>
      <c r="N13" s="202" t="s">
        <v>1120</v>
      </c>
    </row>
    <row r="14" spans="1:14" x14ac:dyDescent="0.45">
      <c r="A14" s="165" t="s">
        <v>1096</v>
      </c>
      <c r="B14" s="166" t="s">
        <v>1121</v>
      </c>
      <c r="C14" s="166" t="s">
        <v>1119</v>
      </c>
      <c r="D14" s="167">
        <v>84</v>
      </c>
      <c r="E14" s="167">
        <v>218</v>
      </c>
      <c r="F14" s="167">
        <v>134</v>
      </c>
      <c r="G14" s="166" t="s">
        <v>1122</v>
      </c>
      <c r="H14" s="167" t="s">
        <v>985</v>
      </c>
      <c r="I14" s="170">
        <v>0.99980000000000002</v>
      </c>
      <c r="J14" s="169">
        <v>6.1150000000000002</v>
      </c>
      <c r="K14" s="166" t="s">
        <v>11</v>
      </c>
      <c r="L14" s="166" t="s">
        <v>1123</v>
      </c>
      <c r="M14" s="167">
        <v>8</v>
      </c>
      <c r="N14" s="202" t="s">
        <v>1124</v>
      </c>
    </row>
    <row r="15" spans="1:14" x14ac:dyDescent="0.45">
      <c r="A15" s="165" t="s">
        <v>1096</v>
      </c>
      <c r="B15" s="166" t="s">
        <v>1125</v>
      </c>
      <c r="C15" s="166" t="s">
        <v>1123</v>
      </c>
      <c r="D15" s="167">
        <v>82</v>
      </c>
      <c r="E15" s="167">
        <v>214</v>
      </c>
      <c r="F15" s="167">
        <v>132</v>
      </c>
      <c r="G15" s="166" t="s">
        <v>1126</v>
      </c>
      <c r="H15" s="167" t="s">
        <v>931</v>
      </c>
      <c r="I15" s="168">
        <v>1</v>
      </c>
      <c r="J15" s="169">
        <v>1.032</v>
      </c>
      <c r="K15" s="166">
        <v>0.35199999999999998</v>
      </c>
      <c r="L15" s="166" t="s">
        <v>1127</v>
      </c>
      <c r="M15" s="167">
        <v>9</v>
      </c>
      <c r="N15" s="202" t="s">
        <v>1128</v>
      </c>
    </row>
    <row r="16" spans="1:14" x14ac:dyDescent="0.45">
      <c r="A16" s="165" t="s">
        <v>1096</v>
      </c>
      <c r="B16" s="166" t="s">
        <v>1129</v>
      </c>
      <c r="C16" s="166" t="s">
        <v>1127</v>
      </c>
      <c r="D16" s="167">
        <v>83</v>
      </c>
      <c r="E16" s="167">
        <v>214</v>
      </c>
      <c r="F16" s="167">
        <v>131</v>
      </c>
      <c r="G16" s="166" t="s">
        <v>1130</v>
      </c>
      <c r="H16" s="167" t="s">
        <v>931</v>
      </c>
      <c r="I16" s="170">
        <v>0.99980000000000002</v>
      </c>
      <c r="J16" s="169">
        <v>3.2719999999999998</v>
      </c>
      <c r="K16" s="166" t="s">
        <v>1131</v>
      </c>
      <c r="L16" s="166" t="s">
        <v>1132</v>
      </c>
      <c r="M16" s="167">
        <v>10</v>
      </c>
      <c r="N16" s="202" t="s">
        <v>1133</v>
      </c>
    </row>
    <row r="17" spans="1:14" x14ac:dyDescent="0.45">
      <c r="A17" s="165" t="s">
        <v>1096</v>
      </c>
      <c r="B17" s="166" t="s">
        <v>1134</v>
      </c>
      <c r="C17" s="166" t="s">
        <v>1132</v>
      </c>
      <c r="D17" s="167">
        <v>84</v>
      </c>
      <c r="E17" s="167">
        <v>214</v>
      </c>
      <c r="F17" s="167">
        <v>130</v>
      </c>
      <c r="G17" s="166" t="s">
        <v>1135</v>
      </c>
      <c r="H17" s="167" t="s">
        <v>985</v>
      </c>
      <c r="I17" s="168">
        <v>1</v>
      </c>
      <c r="J17" s="169">
        <v>7.8330000000000002</v>
      </c>
      <c r="K17" s="166" t="s">
        <v>11</v>
      </c>
      <c r="L17" s="166" t="s">
        <v>1136</v>
      </c>
      <c r="M17" s="167">
        <v>11</v>
      </c>
      <c r="N17" s="202" t="s">
        <v>1137</v>
      </c>
    </row>
    <row r="18" spans="1:14" x14ac:dyDescent="0.45">
      <c r="A18" s="165" t="s">
        <v>1096</v>
      </c>
      <c r="B18" s="166" t="s">
        <v>1138</v>
      </c>
      <c r="C18" s="166" t="s">
        <v>1136</v>
      </c>
      <c r="D18" s="167">
        <v>82</v>
      </c>
      <c r="E18" s="167">
        <v>210</v>
      </c>
      <c r="F18" s="167">
        <v>128</v>
      </c>
      <c r="G18" s="166" t="s">
        <v>1139</v>
      </c>
      <c r="H18" s="167" t="s">
        <v>931</v>
      </c>
      <c r="I18" s="168">
        <v>1</v>
      </c>
      <c r="J18" s="169">
        <v>6.4000000000000001E-2</v>
      </c>
      <c r="K18" s="166">
        <v>4.7E-2</v>
      </c>
      <c r="L18" s="166" t="s">
        <v>1140</v>
      </c>
      <c r="M18" s="167">
        <v>12</v>
      </c>
      <c r="N18" s="202" t="s">
        <v>1141</v>
      </c>
    </row>
    <row r="19" spans="1:14" x14ac:dyDescent="0.45">
      <c r="A19" s="165" t="s">
        <v>1096</v>
      </c>
      <c r="B19" s="166" t="s">
        <v>1142</v>
      </c>
      <c r="C19" s="166" t="s">
        <v>1140</v>
      </c>
      <c r="D19" s="167">
        <v>83</v>
      </c>
      <c r="E19" s="167">
        <v>210</v>
      </c>
      <c r="F19" s="167">
        <v>127</v>
      </c>
      <c r="G19" s="166" t="s">
        <v>1143</v>
      </c>
      <c r="H19" s="167" t="s">
        <v>931</v>
      </c>
      <c r="I19" s="168">
        <v>1</v>
      </c>
      <c r="J19" s="169">
        <v>1.163</v>
      </c>
      <c r="K19" s="166" t="s">
        <v>11</v>
      </c>
      <c r="L19" s="166" t="s">
        <v>1144</v>
      </c>
      <c r="M19" s="167">
        <v>13</v>
      </c>
      <c r="N19" s="202" t="s">
        <v>1145</v>
      </c>
    </row>
    <row r="20" spans="1:14" x14ac:dyDescent="0.45">
      <c r="A20" s="165" t="s">
        <v>1096</v>
      </c>
      <c r="B20" s="166" t="s">
        <v>1146</v>
      </c>
      <c r="C20" s="166" t="s">
        <v>1144</v>
      </c>
      <c r="D20" s="167">
        <v>84</v>
      </c>
      <c r="E20" s="167">
        <v>210</v>
      </c>
      <c r="F20" s="167">
        <v>126</v>
      </c>
      <c r="G20" s="166" t="s">
        <v>1147</v>
      </c>
      <c r="H20" s="167" t="s">
        <v>985</v>
      </c>
      <c r="I20" s="168">
        <v>1</v>
      </c>
      <c r="J20" s="169">
        <v>5.407</v>
      </c>
      <c r="K20" s="166">
        <v>0.80300000000000005</v>
      </c>
      <c r="L20" s="166" t="s">
        <v>1148</v>
      </c>
      <c r="M20" s="167">
        <v>14</v>
      </c>
      <c r="N20" s="202" t="s">
        <v>1149</v>
      </c>
    </row>
    <row r="21" spans="1:14" x14ac:dyDescent="0.45">
      <c r="A21" s="195" t="s">
        <v>1096</v>
      </c>
      <c r="B21" s="196" t="s">
        <v>1150</v>
      </c>
      <c r="C21" s="196" t="s">
        <v>1151</v>
      </c>
      <c r="D21" s="197">
        <v>82</v>
      </c>
      <c r="E21" s="197">
        <v>206</v>
      </c>
      <c r="F21" s="197">
        <v>124</v>
      </c>
      <c r="G21" s="196" t="s">
        <v>1152</v>
      </c>
      <c r="H21" s="197" t="s">
        <v>11</v>
      </c>
      <c r="I21" s="197" t="s">
        <v>11</v>
      </c>
      <c r="J21" s="198" t="s">
        <v>11</v>
      </c>
      <c r="K21" s="196" t="s">
        <v>11</v>
      </c>
      <c r="L21" s="196" t="s">
        <v>11</v>
      </c>
      <c r="M21" s="197" t="s">
        <v>1153</v>
      </c>
      <c r="N21" s="203" t="s">
        <v>1154</v>
      </c>
    </row>
    <row r="22" spans="1:14" x14ac:dyDescent="0.45">
      <c r="A22" s="165"/>
      <c r="B22" s="166"/>
      <c r="C22" s="166"/>
      <c r="D22" s="167"/>
      <c r="E22" s="167"/>
      <c r="F22" s="167"/>
      <c r="G22" s="166"/>
      <c r="H22" s="167"/>
      <c r="I22" s="167"/>
      <c r="J22" s="169"/>
      <c r="K22" s="166"/>
      <c r="L22" s="166"/>
      <c r="M22" s="167"/>
      <c r="N22" s="202"/>
    </row>
    <row r="23" spans="1:14" x14ac:dyDescent="0.45">
      <c r="A23" s="161" t="s">
        <v>1155</v>
      </c>
      <c r="B23" s="162"/>
      <c r="C23" s="162"/>
      <c r="D23" s="163"/>
      <c r="E23" s="163"/>
      <c r="F23" s="163"/>
      <c r="G23" s="162"/>
      <c r="H23" s="163"/>
      <c r="I23" s="163"/>
      <c r="J23" s="164"/>
      <c r="K23" s="162"/>
      <c r="L23" s="162"/>
      <c r="M23" s="163"/>
      <c r="N23" s="204" t="s">
        <v>1156</v>
      </c>
    </row>
    <row r="24" spans="1:14" x14ac:dyDescent="0.45">
      <c r="A24" s="165" t="s">
        <v>1157</v>
      </c>
      <c r="B24" s="166" t="s">
        <v>987</v>
      </c>
      <c r="C24" s="166" t="s">
        <v>988</v>
      </c>
      <c r="D24" s="167">
        <v>92</v>
      </c>
      <c r="E24" s="167">
        <v>235</v>
      </c>
      <c r="F24" s="167">
        <v>143</v>
      </c>
      <c r="G24" s="166" t="s">
        <v>1158</v>
      </c>
      <c r="H24" s="167" t="s">
        <v>985</v>
      </c>
      <c r="I24" s="168">
        <v>1</v>
      </c>
      <c r="J24" s="169">
        <v>4.6790000000000003</v>
      </c>
      <c r="K24" s="166">
        <v>0.186</v>
      </c>
      <c r="L24" s="166" t="s">
        <v>1159</v>
      </c>
      <c r="M24" s="167">
        <v>1</v>
      </c>
      <c r="N24" s="202" t="s">
        <v>1160</v>
      </c>
    </row>
    <row r="25" spans="1:14" x14ac:dyDescent="0.45">
      <c r="A25" s="165" t="s">
        <v>1157</v>
      </c>
      <c r="B25" s="166" t="s">
        <v>1161</v>
      </c>
      <c r="C25" s="166" t="s">
        <v>1159</v>
      </c>
      <c r="D25" s="167">
        <v>90</v>
      </c>
      <c r="E25" s="167">
        <v>231</v>
      </c>
      <c r="F25" s="167">
        <v>141</v>
      </c>
      <c r="G25" s="166" t="s">
        <v>1162</v>
      </c>
      <c r="H25" s="167" t="s">
        <v>931</v>
      </c>
      <c r="I25" s="168">
        <v>1</v>
      </c>
      <c r="J25" s="169">
        <v>0.38900000000000001</v>
      </c>
      <c r="K25" s="166">
        <v>2.5999999999999999E-2</v>
      </c>
      <c r="L25" s="166" t="s">
        <v>1163</v>
      </c>
      <c r="M25" s="167">
        <v>2</v>
      </c>
      <c r="N25" s="202" t="s">
        <v>1164</v>
      </c>
    </row>
    <row r="26" spans="1:14" x14ac:dyDescent="0.45">
      <c r="A26" s="165" t="s">
        <v>1157</v>
      </c>
      <c r="B26" s="166" t="s">
        <v>1165</v>
      </c>
      <c r="C26" s="166" t="s">
        <v>1163</v>
      </c>
      <c r="D26" s="167">
        <v>91</v>
      </c>
      <c r="E26" s="167">
        <v>231</v>
      </c>
      <c r="F26" s="167">
        <v>140</v>
      </c>
      <c r="G26" s="166" t="s">
        <v>1166</v>
      </c>
      <c r="H26" s="167" t="s">
        <v>985</v>
      </c>
      <c r="I26" s="168">
        <v>1</v>
      </c>
      <c r="J26" s="169">
        <v>5.149</v>
      </c>
      <c r="K26" s="166" t="s">
        <v>1167</v>
      </c>
      <c r="L26" s="166" t="s">
        <v>1168</v>
      </c>
      <c r="M26" s="167">
        <v>3</v>
      </c>
      <c r="N26" s="202" t="s">
        <v>1169</v>
      </c>
    </row>
    <row r="27" spans="1:14" x14ac:dyDescent="0.45">
      <c r="A27" s="165" t="s">
        <v>1157</v>
      </c>
      <c r="B27" s="166" t="s">
        <v>1170</v>
      </c>
      <c r="C27" s="166" t="s">
        <v>1168</v>
      </c>
      <c r="D27" s="167">
        <v>89</v>
      </c>
      <c r="E27" s="167">
        <v>227</v>
      </c>
      <c r="F27" s="167">
        <v>138</v>
      </c>
      <c r="G27" s="166" t="s">
        <v>1171</v>
      </c>
      <c r="H27" s="167" t="s">
        <v>931</v>
      </c>
      <c r="I27" s="170">
        <v>0.98619999999999997</v>
      </c>
      <c r="J27" s="169">
        <v>4.4999999999999998E-2</v>
      </c>
      <c r="K27" s="166" t="s">
        <v>11</v>
      </c>
      <c r="L27" s="166" t="s">
        <v>1172</v>
      </c>
      <c r="M27" s="167">
        <v>4</v>
      </c>
      <c r="N27" s="202" t="s">
        <v>1173</v>
      </c>
    </row>
    <row r="28" spans="1:14" x14ac:dyDescent="0.45">
      <c r="A28" s="165" t="s">
        <v>1157</v>
      </c>
      <c r="B28" s="166" t="s">
        <v>1174</v>
      </c>
      <c r="C28" s="166" t="s">
        <v>1172</v>
      </c>
      <c r="D28" s="167">
        <v>90</v>
      </c>
      <c r="E28" s="167">
        <v>227</v>
      </c>
      <c r="F28" s="167">
        <v>137</v>
      </c>
      <c r="G28" s="166" t="s">
        <v>1175</v>
      </c>
      <c r="H28" s="167" t="s">
        <v>985</v>
      </c>
      <c r="I28" s="168">
        <v>1</v>
      </c>
      <c r="J28" s="169">
        <v>6.1459999999999999</v>
      </c>
      <c r="K28" s="166" t="s">
        <v>1176</v>
      </c>
      <c r="L28" s="166" t="s">
        <v>1177</v>
      </c>
      <c r="M28" s="167">
        <v>5</v>
      </c>
      <c r="N28" s="202" t="s">
        <v>1178</v>
      </c>
    </row>
    <row r="29" spans="1:14" x14ac:dyDescent="0.45">
      <c r="A29" s="165" t="s">
        <v>1157</v>
      </c>
      <c r="B29" s="166" t="s">
        <v>1179</v>
      </c>
      <c r="C29" s="166" t="s">
        <v>1177</v>
      </c>
      <c r="D29" s="167">
        <v>88</v>
      </c>
      <c r="E29" s="167">
        <v>223</v>
      </c>
      <c r="F29" s="167">
        <v>135</v>
      </c>
      <c r="G29" s="166" t="s">
        <v>1180</v>
      </c>
      <c r="H29" s="167" t="s">
        <v>985</v>
      </c>
      <c r="I29" s="168">
        <v>1</v>
      </c>
      <c r="J29" s="169">
        <v>5.9790000000000001</v>
      </c>
      <c r="K29" s="166" t="s">
        <v>1181</v>
      </c>
      <c r="L29" s="166" t="s">
        <v>1182</v>
      </c>
      <c r="M29" s="167">
        <v>6</v>
      </c>
      <c r="N29" s="202" t="s">
        <v>1183</v>
      </c>
    </row>
    <row r="30" spans="1:14" x14ac:dyDescent="0.45">
      <c r="A30" s="165" t="s">
        <v>1157</v>
      </c>
      <c r="B30" s="166" t="s">
        <v>1184</v>
      </c>
      <c r="C30" s="166" t="s">
        <v>1182</v>
      </c>
      <c r="D30" s="167">
        <v>86</v>
      </c>
      <c r="E30" s="167">
        <v>219</v>
      </c>
      <c r="F30" s="167">
        <v>133</v>
      </c>
      <c r="G30" s="166" t="s">
        <v>1185</v>
      </c>
      <c r="H30" s="167" t="s">
        <v>985</v>
      </c>
      <c r="I30" s="168">
        <v>1</v>
      </c>
      <c r="J30" s="169">
        <v>6.9459999999999997</v>
      </c>
      <c r="K30" s="166" t="s">
        <v>1186</v>
      </c>
      <c r="L30" s="166" t="s">
        <v>1187</v>
      </c>
      <c r="M30" s="167">
        <v>7</v>
      </c>
      <c r="N30" s="202" t="s">
        <v>1188</v>
      </c>
    </row>
    <row r="31" spans="1:14" x14ac:dyDescent="0.45">
      <c r="A31" s="165" t="s">
        <v>1157</v>
      </c>
      <c r="B31" s="166" t="s">
        <v>1189</v>
      </c>
      <c r="C31" s="166" t="s">
        <v>1187</v>
      </c>
      <c r="D31" s="167">
        <v>84</v>
      </c>
      <c r="E31" s="167">
        <v>215</v>
      </c>
      <c r="F31" s="167">
        <v>131</v>
      </c>
      <c r="G31" s="166" t="s">
        <v>1190</v>
      </c>
      <c r="H31" s="167" t="s">
        <v>985</v>
      </c>
      <c r="I31" s="170">
        <v>0.99999769999999999</v>
      </c>
      <c r="J31" s="169">
        <v>7.5259999999999998</v>
      </c>
      <c r="K31" s="166" t="s">
        <v>11</v>
      </c>
      <c r="L31" s="166" t="s">
        <v>1191</v>
      </c>
      <c r="M31" s="167">
        <v>8</v>
      </c>
      <c r="N31" s="202" t="s">
        <v>1192</v>
      </c>
    </row>
    <row r="32" spans="1:14" x14ac:dyDescent="0.45">
      <c r="A32" s="165" t="s">
        <v>1157</v>
      </c>
      <c r="B32" s="166" t="s">
        <v>1193</v>
      </c>
      <c r="C32" s="166" t="s">
        <v>1191</v>
      </c>
      <c r="D32" s="167">
        <v>82</v>
      </c>
      <c r="E32" s="167">
        <v>211</v>
      </c>
      <c r="F32" s="167">
        <v>129</v>
      </c>
      <c r="G32" s="166" t="s">
        <v>1194</v>
      </c>
      <c r="H32" s="167" t="s">
        <v>931</v>
      </c>
      <c r="I32" s="168">
        <v>1</v>
      </c>
      <c r="J32" s="169">
        <v>1.367</v>
      </c>
      <c r="K32" s="166" t="s">
        <v>1195</v>
      </c>
      <c r="L32" s="166" t="s">
        <v>1196</v>
      </c>
      <c r="M32" s="167">
        <v>9</v>
      </c>
      <c r="N32" s="202" t="s">
        <v>1197</v>
      </c>
    </row>
    <row r="33" spans="1:14" x14ac:dyDescent="0.45">
      <c r="A33" s="165" t="s">
        <v>1157</v>
      </c>
      <c r="B33" s="166" t="s">
        <v>1198</v>
      </c>
      <c r="C33" s="166" t="s">
        <v>1196</v>
      </c>
      <c r="D33" s="167">
        <v>83</v>
      </c>
      <c r="E33" s="167">
        <v>211</v>
      </c>
      <c r="F33" s="167">
        <v>128</v>
      </c>
      <c r="G33" s="166" t="s">
        <v>1199</v>
      </c>
      <c r="H33" s="167" t="s">
        <v>985</v>
      </c>
      <c r="I33" s="170">
        <v>0.99724000000000002</v>
      </c>
      <c r="J33" s="169">
        <v>6.7510000000000003</v>
      </c>
      <c r="K33" s="166">
        <v>0.35099999999999998</v>
      </c>
      <c r="L33" s="166" t="s">
        <v>1200</v>
      </c>
      <c r="M33" s="167">
        <v>10</v>
      </c>
      <c r="N33" s="202" t="s">
        <v>1201</v>
      </c>
    </row>
    <row r="34" spans="1:14" x14ac:dyDescent="0.45">
      <c r="A34" s="165" t="s">
        <v>1157</v>
      </c>
      <c r="B34" s="166" t="s">
        <v>1202</v>
      </c>
      <c r="C34" s="166" t="s">
        <v>1200</v>
      </c>
      <c r="D34" s="167">
        <v>81</v>
      </c>
      <c r="E34" s="167">
        <v>207</v>
      </c>
      <c r="F34" s="167">
        <v>126</v>
      </c>
      <c r="G34" s="166" t="s">
        <v>1203</v>
      </c>
      <c r="H34" s="167" t="s">
        <v>931</v>
      </c>
      <c r="I34" s="168">
        <v>1</v>
      </c>
      <c r="J34" s="169">
        <v>1.423</v>
      </c>
      <c r="K34" s="166">
        <v>0.89700000000000002</v>
      </c>
      <c r="L34" s="166" t="s">
        <v>1204</v>
      </c>
      <c r="M34" s="167">
        <v>11</v>
      </c>
      <c r="N34" s="202" t="s">
        <v>1205</v>
      </c>
    </row>
    <row r="35" spans="1:14" x14ac:dyDescent="0.45">
      <c r="A35" s="195" t="s">
        <v>1157</v>
      </c>
      <c r="B35" s="196" t="s">
        <v>1206</v>
      </c>
      <c r="C35" s="196" t="s">
        <v>1207</v>
      </c>
      <c r="D35" s="197">
        <v>82</v>
      </c>
      <c r="E35" s="197">
        <v>207</v>
      </c>
      <c r="F35" s="197">
        <v>125</v>
      </c>
      <c r="G35" s="196" t="s">
        <v>1152</v>
      </c>
      <c r="H35" s="197" t="s">
        <v>11</v>
      </c>
      <c r="I35" s="197" t="s">
        <v>11</v>
      </c>
      <c r="J35" s="198" t="s">
        <v>11</v>
      </c>
      <c r="K35" s="196" t="s">
        <v>11</v>
      </c>
      <c r="L35" s="196" t="s">
        <v>11</v>
      </c>
      <c r="M35" s="197" t="s">
        <v>1153</v>
      </c>
      <c r="N35" s="203" t="s">
        <v>1208</v>
      </c>
    </row>
    <row r="36" spans="1:14" x14ac:dyDescent="0.45">
      <c r="A36" s="165"/>
      <c r="B36" s="166"/>
      <c r="C36" s="166"/>
      <c r="D36" s="167"/>
      <c r="E36" s="167"/>
      <c r="F36" s="167"/>
      <c r="G36" s="166"/>
      <c r="H36" s="167"/>
      <c r="I36" s="167"/>
      <c r="J36" s="169"/>
      <c r="K36" s="166"/>
      <c r="L36" s="166"/>
      <c r="M36" s="167"/>
      <c r="N36" s="202"/>
    </row>
    <row r="37" spans="1:14" x14ac:dyDescent="0.45">
      <c r="A37" s="161" t="s">
        <v>1209</v>
      </c>
      <c r="B37" s="162"/>
      <c r="C37" s="162"/>
      <c r="D37" s="163"/>
      <c r="E37" s="163"/>
      <c r="F37" s="163"/>
      <c r="G37" s="162"/>
      <c r="H37" s="163"/>
      <c r="I37" s="163"/>
      <c r="J37" s="164"/>
      <c r="K37" s="162"/>
      <c r="L37" s="162"/>
      <c r="M37" s="163"/>
      <c r="N37" s="204" t="s">
        <v>1210</v>
      </c>
    </row>
    <row r="38" spans="1:14" x14ac:dyDescent="0.45">
      <c r="A38" s="165" t="s">
        <v>1211</v>
      </c>
      <c r="B38" s="166" t="s">
        <v>1212</v>
      </c>
      <c r="C38" s="166" t="s">
        <v>1213</v>
      </c>
      <c r="D38" s="167">
        <v>90</v>
      </c>
      <c r="E38" s="167">
        <v>232</v>
      </c>
      <c r="F38" s="167">
        <v>142</v>
      </c>
      <c r="G38" s="166" t="s">
        <v>1214</v>
      </c>
      <c r="H38" s="167" t="s">
        <v>985</v>
      </c>
      <c r="I38" s="168">
        <v>1</v>
      </c>
      <c r="J38" s="169">
        <v>4.0830000000000002</v>
      </c>
      <c r="K38" s="166">
        <v>5.8999999999999997E-2</v>
      </c>
      <c r="L38" s="166" t="s">
        <v>1215</v>
      </c>
      <c r="M38" s="167">
        <v>1</v>
      </c>
      <c r="N38" s="202" t="s">
        <v>1216</v>
      </c>
    </row>
    <row r="39" spans="1:14" x14ac:dyDescent="0.45">
      <c r="A39" s="165" t="s">
        <v>1211</v>
      </c>
      <c r="B39" s="166" t="s">
        <v>1217</v>
      </c>
      <c r="C39" s="166" t="s">
        <v>1215</v>
      </c>
      <c r="D39" s="167">
        <v>88</v>
      </c>
      <c r="E39" s="167">
        <v>228</v>
      </c>
      <c r="F39" s="167">
        <v>140</v>
      </c>
      <c r="G39" s="166" t="s">
        <v>1218</v>
      </c>
      <c r="H39" s="167" t="s">
        <v>931</v>
      </c>
      <c r="I39" s="168">
        <v>1</v>
      </c>
      <c r="J39" s="169">
        <v>4.5999999999999999E-2</v>
      </c>
      <c r="K39" s="166" t="s">
        <v>11</v>
      </c>
      <c r="L39" s="166" t="s">
        <v>1219</v>
      </c>
      <c r="M39" s="167">
        <v>2</v>
      </c>
      <c r="N39" s="202" t="s">
        <v>1220</v>
      </c>
    </row>
    <row r="40" spans="1:14" x14ac:dyDescent="0.45">
      <c r="A40" s="165" t="s">
        <v>1211</v>
      </c>
      <c r="B40" s="166" t="s">
        <v>1221</v>
      </c>
      <c r="C40" s="166" t="s">
        <v>1219</v>
      </c>
      <c r="D40" s="167">
        <v>89</v>
      </c>
      <c r="E40" s="167">
        <v>228</v>
      </c>
      <c r="F40" s="167">
        <v>139</v>
      </c>
      <c r="G40" s="166" t="s">
        <v>1222</v>
      </c>
      <c r="H40" s="167" t="s">
        <v>931</v>
      </c>
      <c r="I40" s="168">
        <v>1</v>
      </c>
      <c r="J40" s="169">
        <v>2.1269999999999998</v>
      </c>
      <c r="K40" s="166" t="s">
        <v>1223</v>
      </c>
      <c r="L40" s="166" t="s">
        <v>1224</v>
      </c>
      <c r="M40" s="167">
        <v>3</v>
      </c>
      <c r="N40" s="202" t="s">
        <v>1225</v>
      </c>
    </row>
    <row r="41" spans="1:14" x14ac:dyDescent="0.45">
      <c r="A41" s="165" t="s">
        <v>1211</v>
      </c>
      <c r="B41" s="166" t="s">
        <v>1226</v>
      </c>
      <c r="C41" s="166" t="s">
        <v>1224</v>
      </c>
      <c r="D41" s="167">
        <v>90</v>
      </c>
      <c r="E41" s="167">
        <v>228</v>
      </c>
      <c r="F41" s="167">
        <v>138</v>
      </c>
      <c r="G41" s="166" t="s">
        <v>1227</v>
      </c>
      <c r="H41" s="167" t="s">
        <v>985</v>
      </c>
      <c r="I41" s="168">
        <v>1</v>
      </c>
      <c r="J41" s="169">
        <v>5.52</v>
      </c>
      <c r="K41" s="166">
        <v>8.4000000000000005E-2</v>
      </c>
      <c r="L41" s="166" t="s">
        <v>1228</v>
      </c>
      <c r="M41" s="167">
        <v>4</v>
      </c>
      <c r="N41" s="202" t="s">
        <v>1229</v>
      </c>
    </row>
    <row r="42" spans="1:14" x14ac:dyDescent="0.45">
      <c r="A42" s="165" t="s">
        <v>1211</v>
      </c>
      <c r="B42" s="166" t="s">
        <v>1230</v>
      </c>
      <c r="C42" s="166" t="s">
        <v>1228</v>
      </c>
      <c r="D42" s="167">
        <v>88</v>
      </c>
      <c r="E42" s="167">
        <v>224</v>
      </c>
      <c r="F42" s="167">
        <v>136</v>
      </c>
      <c r="G42" s="166" t="s">
        <v>1231</v>
      </c>
      <c r="H42" s="167" t="s">
        <v>985</v>
      </c>
      <c r="I42" s="168">
        <v>1</v>
      </c>
      <c r="J42" s="169">
        <v>5.7889999999999997</v>
      </c>
      <c r="K42" s="166">
        <v>0.24099999999999999</v>
      </c>
      <c r="L42" s="166" t="s">
        <v>1232</v>
      </c>
      <c r="M42" s="167">
        <v>5</v>
      </c>
      <c r="N42" s="202" t="s">
        <v>1233</v>
      </c>
    </row>
    <row r="43" spans="1:14" x14ac:dyDescent="0.45">
      <c r="A43" s="165" t="s">
        <v>1211</v>
      </c>
      <c r="B43" s="166" t="s">
        <v>1234</v>
      </c>
      <c r="C43" s="166" t="s">
        <v>1232</v>
      </c>
      <c r="D43" s="167">
        <v>86</v>
      </c>
      <c r="E43" s="167">
        <v>220</v>
      </c>
      <c r="F43" s="167">
        <v>134</v>
      </c>
      <c r="G43" s="166" t="s">
        <v>1235</v>
      </c>
      <c r="H43" s="167" t="s">
        <v>985</v>
      </c>
      <c r="I43" s="168">
        <v>1</v>
      </c>
      <c r="J43" s="169">
        <v>6.4039999999999999</v>
      </c>
      <c r="K43" s="166">
        <v>0.55000000000000004</v>
      </c>
      <c r="L43" s="166" t="s">
        <v>1236</v>
      </c>
      <c r="M43" s="167">
        <v>6</v>
      </c>
      <c r="N43" s="202" t="s">
        <v>1237</v>
      </c>
    </row>
    <row r="44" spans="1:14" x14ac:dyDescent="0.45">
      <c r="A44" s="165" t="s">
        <v>1211</v>
      </c>
      <c r="B44" s="166" t="s">
        <v>1238</v>
      </c>
      <c r="C44" s="166" t="s">
        <v>1236</v>
      </c>
      <c r="D44" s="167">
        <v>84</v>
      </c>
      <c r="E44" s="167">
        <v>216</v>
      </c>
      <c r="F44" s="167">
        <v>132</v>
      </c>
      <c r="G44" s="166" t="s">
        <v>1239</v>
      </c>
      <c r="H44" s="167" t="s">
        <v>985</v>
      </c>
      <c r="I44" s="168">
        <v>1</v>
      </c>
      <c r="J44" s="169">
        <v>6.9059999999999997</v>
      </c>
      <c r="K44" s="166" t="s">
        <v>11</v>
      </c>
      <c r="L44" s="166" t="s">
        <v>1240</v>
      </c>
      <c r="M44" s="167">
        <v>7</v>
      </c>
      <c r="N44" s="202" t="s">
        <v>1241</v>
      </c>
    </row>
    <row r="45" spans="1:14" x14ac:dyDescent="0.45">
      <c r="A45" s="165" t="s">
        <v>1211</v>
      </c>
      <c r="B45" s="166" t="s">
        <v>1242</v>
      </c>
      <c r="C45" s="166" t="s">
        <v>1240</v>
      </c>
      <c r="D45" s="167">
        <v>82</v>
      </c>
      <c r="E45" s="167">
        <v>212</v>
      </c>
      <c r="F45" s="167">
        <v>130</v>
      </c>
      <c r="G45" s="166" t="s">
        <v>1243</v>
      </c>
      <c r="H45" s="167" t="s">
        <v>931</v>
      </c>
      <c r="I45" s="168">
        <v>1</v>
      </c>
      <c r="J45" s="169">
        <v>0.57399999999999995</v>
      </c>
      <c r="K45" s="166" t="s">
        <v>1244</v>
      </c>
      <c r="L45" s="166" t="s">
        <v>1245</v>
      </c>
      <c r="M45" s="167">
        <v>8</v>
      </c>
      <c r="N45" s="202" t="s">
        <v>1246</v>
      </c>
    </row>
    <row r="46" spans="1:14" x14ac:dyDescent="0.45">
      <c r="A46" s="165" t="s">
        <v>1211</v>
      </c>
      <c r="B46" s="166" t="s">
        <v>1247</v>
      </c>
      <c r="C46" s="166" t="s">
        <v>1245</v>
      </c>
      <c r="D46" s="167">
        <v>83</v>
      </c>
      <c r="E46" s="167">
        <v>212</v>
      </c>
      <c r="F46" s="167">
        <v>129</v>
      </c>
      <c r="G46" s="166" t="s">
        <v>1248</v>
      </c>
      <c r="H46" s="167" t="s">
        <v>1249</v>
      </c>
      <c r="I46" s="167" t="s">
        <v>1250</v>
      </c>
      <c r="J46" s="169" t="s">
        <v>1251</v>
      </c>
      <c r="K46" s="166" t="s">
        <v>1252</v>
      </c>
      <c r="L46" s="166" t="s">
        <v>1253</v>
      </c>
      <c r="M46" s="167">
        <v>9</v>
      </c>
      <c r="N46" s="202" t="s">
        <v>1254</v>
      </c>
    </row>
    <row r="47" spans="1:14" x14ac:dyDescent="0.45">
      <c r="A47" s="165" t="s">
        <v>1211</v>
      </c>
      <c r="B47" s="166" t="s">
        <v>1255</v>
      </c>
      <c r="C47" s="166" t="s">
        <v>1256</v>
      </c>
      <c r="D47" s="167">
        <v>84</v>
      </c>
      <c r="E47" s="167">
        <v>212</v>
      </c>
      <c r="F47" s="167">
        <v>128</v>
      </c>
      <c r="G47" s="166" t="s">
        <v>1257</v>
      </c>
      <c r="H47" s="167" t="s">
        <v>985</v>
      </c>
      <c r="I47" s="168">
        <v>1</v>
      </c>
      <c r="J47" s="169">
        <v>8.9540000000000006</v>
      </c>
      <c r="K47" s="166" t="s">
        <v>11</v>
      </c>
      <c r="L47" s="166" t="s">
        <v>1258</v>
      </c>
      <c r="M47" s="167" t="s">
        <v>1259</v>
      </c>
      <c r="N47" s="202" t="s">
        <v>1260</v>
      </c>
    </row>
    <row r="48" spans="1:14" x14ac:dyDescent="0.45">
      <c r="A48" s="165" t="s">
        <v>1211</v>
      </c>
      <c r="B48" s="166" t="s">
        <v>1261</v>
      </c>
      <c r="C48" s="166" t="s">
        <v>1262</v>
      </c>
      <c r="D48" s="167">
        <v>81</v>
      </c>
      <c r="E48" s="167">
        <v>208</v>
      </c>
      <c r="F48" s="167">
        <v>127</v>
      </c>
      <c r="G48" s="166" t="s">
        <v>1263</v>
      </c>
      <c r="H48" s="167" t="s">
        <v>931</v>
      </c>
      <c r="I48" s="168">
        <v>1</v>
      </c>
      <c r="J48" s="169">
        <v>1.8029999999999999</v>
      </c>
      <c r="K48" s="166">
        <v>2.6150000000000002</v>
      </c>
      <c r="L48" s="166" t="s">
        <v>1258</v>
      </c>
      <c r="M48" s="167" t="s">
        <v>1264</v>
      </c>
      <c r="N48" s="202" t="s">
        <v>1265</v>
      </c>
    </row>
    <row r="49" spans="1:14" x14ac:dyDescent="0.45">
      <c r="A49" s="195" t="s">
        <v>1211</v>
      </c>
      <c r="B49" s="196" t="s">
        <v>1266</v>
      </c>
      <c r="C49" s="196" t="s">
        <v>1267</v>
      </c>
      <c r="D49" s="197">
        <v>82</v>
      </c>
      <c r="E49" s="197">
        <v>208</v>
      </c>
      <c r="F49" s="197">
        <v>126</v>
      </c>
      <c r="G49" s="196" t="s">
        <v>1152</v>
      </c>
      <c r="H49" s="197" t="s">
        <v>11</v>
      </c>
      <c r="I49" s="197" t="s">
        <v>11</v>
      </c>
      <c r="J49" s="198" t="s">
        <v>11</v>
      </c>
      <c r="K49" s="196" t="s">
        <v>11</v>
      </c>
      <c r="L49" s="196" t="s">
        <v>11</v>
      </c>
      <c r="M49" s="197" t="s">
        <v>1153</v>
      </c>
      <c r="N49" s="203" t="s">
        <v>1268</v>
      </c>
    </row>
    <row r="50" spans="1:14" x14ac:dyDescent="0.45">
      <c r="A50" s="165"/>
      <c r="B50" s="166"/>
      <c r="C50" s="166"/>
      <c r="D50" s="167"/>
      <c r="E50" s="167"/>
      <c r="F50" s="167"/>
      <c r="G50" s="166"/>
      <c r="H50" s="167"/>
      <c r="I50" s="167"/>
      <c r="J50" s="169"/>
      <c r="K50" s="166"/>
      <c r="L50" s="166"/>
      <c r="M50" s="167"/>
      <c r="N50" s="202"/>
    </row>
    <row r="51" spans="1:14" x14ac:dyDescent="0.45">
      <c r="A51" s="161" t="s">
        <v>1269</v>
      </c>
      <c r="B51" s="162"/>
      <c r="C51" s="162"/>
      <c r="D51" s="163"/>
      <c r="E51" s="163"/>
      <c r="F51" s="163"/>
      <c r="G51" s="162"/>
      <c r="H51" s="163"/>
      <c r="I51" s="163"/>
      <c r="J51" s="164"/>
      <c r="K51" s="162"/>
      <c r="L51" s="162"/>
      <c r="M51" s="163"/>
      <c r="N51" s="204" t="s">
        <v>1270</v>
      </c>
    </row>
    <row r="52" spans="1:14" ht="28.5" x14ac:dyDescent="0.45">
      <c r="A52" s="165" t="s">
        <v>1271</v>
      </c>
      <c r="B52" s="166" t="s">
        <v>1272</v>
      </c>
      <c r="C52" s="166" t="s">
        <v>1273</v>
      </c>
      <c r="D52" s="167">
        <v>93</v>
      </c>
      <c r="E52" s="167">
        <v>237</v>
      </c>
      <c r="F52" s="167">
        <v>144</v>
      </c>
      <c r="G52" s="166" t="s">
        <v>1274</v>
      </c>
      <c r="H52" s="167" t="s">
        <v>985</v>
      </c>
      <c r="I52" s="168">
        <v>1</v>
      </c>
      <c r="J52" s="169">
        <v>4.9589999999999996</v>
      </c>
      <c r="K52" s="166" t="s">
        <v>1275</v>
      </c>
      <c r="L52" s="166" t="s">
        <v>1276</v>
      </c>
      <c r="M52" s="167">
        <v>1</v>
      </c>
      <c r="N52" s="202" t="s">
        <v>1277</v>
      </c>
    </row>
    <row r="53" spans="1:14" x14ac:dyDescent="0.45">
      <c r="A53" s="165" t="s">
        <v>1271</v>
      </c>
      <c r="B53" s="166" t="s">
        <v>1278</v>
      </c>
      <c r="C53" s="166" t="s">
        <v>1276</v>
      </c>
      <c r="D53" s="167">
        <v>91</v>
      </c>
      <c r="E53" s="167">
        <v>233</v>
      </c>
      <c r="F53" s="167">
        <v>142</v>
      </c>
      <c r="G53" s="166" t="s">
        <v>1279</v>
      </c>
      <c r="H53" s="167" t="s">
        <v>931</v>
      </c>
      <c r="I53" s="168">
        <v>1</v>
      </c>
      <c r="J53" s="169">
        <v>0.57099999999999995</v>
      </c>
      <c r="K53" s="166" t="s">
        <v>1280</v>
      </c>
      <c r="L53" s="166" t="s">
        <v>1281</v>
      </c>
      <c r="M53" s="167">
        <v>2</v>
      </c>
      <c r="N53" s="202" t="s">
        <v>1282</v>
      </c>
    </row>
    <row r="54" spans="1:14" x14ac:dyDescent="0.45">
      <c r="A54" s="165" t="s">
        <v>1271</v>
      </c>
      <c r="B54" s="166" t="s">
        <v>1283</v>
      </c>
      <c r="C54" s="166" t="s">
        <v>1281</v>
      </c>
      <c r="D54" s="167">
        <v>92</v>
      </c>
      <c r="E54" s="167">
        <v>233</v>
      </c>
      <c r="F54" s="167">
        <v>141</v>
      </c>
      <c r="G54" s="166" t="s">
        <v>1284</v>
      </c>
      <c r="H54" s="167" t="s">
        <v>985</v>
      </c>
      <c r="I54" s="168">
        <v>1</v>
      </c>
      <c r="J54" s="169">
        <v>4.9089999999999998</v>
      </c>
      <c r="K54" s="166" t="s">
        <v>1285</v>
      </c>
      <c r="L54" s="166" t="s">
        <v>1286</v>
      </c>
      <c r="M54" s="167">
        <v>3</v>
      </c>
      <c r="N54" s="202" t="s">
        <v>1287</v>
      </c>
    </row>
    <row r="55" spans="1:14" x14ac:dyDescent="0.45">
      <c r="A55" s="165" t="s">
        <v>1271</v>
      </c>
      <c r="B55" s="166" t="s">
        <v>1288</v>
      </c>
      <c r="C55" s="166" t="s">
        <v>1286</v>
      </c>
      <c r="D55" s="167">
        <v>90</v>
      </c>
      <c r="E55" s="167">
        <v>229</v>
      </c>
      <c r="F55" s="167">
        <v>139</v>
      </c>
      <c r="G55" s="166" t="s">
        <v>1289</v>
      </c>
      <c r="H55" s="167" t="s">
        <v>985</v>
      </c>
      <c r="I55" s="168">
        <v>1</v>
      </c>
      <c r="J55" s="169">
        <v>5.1680000000000001</v>
      </c>
      <c r="K55" s="166" t="s">
        <v>1290</v>
      </c>
      <c r="L55" s="166" t="s">
        <v>1291</v>
      </c>
      <c r="M55" s="167">
        <v>4</v>
      </c>
      <c r="N55" s="202" t="s">
        <v>1292</v>
      </c>
    </row>
    <row r="56" spans="1:14" x14ac:dyDescent="0.45">
      <c r="A56" s="165" t="s">
        <v>1271</v>
      </c>
      <c r="B56" s="166" t="s">
        <v>1293</v>
      </c>
      <c r="C56" s="166" t="s">
        <v>1291</v>
      </c>
      <c r="D56" s="167">
        <v>88</v>
      </c>
      <c r="E56" s="167">
        <v>225</v>
      </c>
      <c r="F56" s="167">
        <v>137</v>
      </c>
      <c r="G56" s="166" t="s">
        <v>1294</v>
      </c>
      <c r="H56" s="167" t="s">
        <v>931</v>
      </c>
      <c r="I56" s="168">
        <v>1</v>
      </c>
      <c r="J56" s="169">
        <v>0.36</v>
      </c>
      <c r="K56" s="166">
        <v>0.04</v>
      </c>
      <c r="L56" s="166" t="s">
        <v>1295</v>
      </c>
      <c r="M56" s="167">
        <v>5</v>
      </c>
      <c r="N56" s="202" t="s">
        <v>1296</v>
      </c>
    </row>
    <row r="57" spans="1:14" x14ac:dyDescent="0.45">
      <c r="A57" s="165" t="s">
        <v>1271</v>
      </c>
      <c r="B57" s="166" t="s">
        <v>1297</v>
      </c>
      <c r="C57" s="166" t="s">
        <v>1295</v>
      </c>
      <c r="D57" s="167">
        <v>89</v>
      </c>
      <c r="E57" s="167">
        <v>225</v>
      </c>
      <c r="F57" s="167">
        <v>136</v>
      </c>
      <c r="G57" s="166" t="s">
        <v>1298</v>
      </c>
      <c r="H57" s="167" t="s">
        <v>985</v>
      </c>
      <c r="I57" s="168">
        <v>1</v>
      </c>
      <c r="J57" s="169">
        <v>5.9349999999999996</v>
      </c>
      <c r="K57" s="166" t="s">
        <v>1299</v>
      </c>
      <c r="L57" s="166" t="s">
        <v>1300</v>
      </c>
      <c r="M57" s="167">
        <v>6</v>
      </c>
      <c r="N57" s="202" t="s">
        <v>1301</v>
      </c>
    </row>
    <row r="58" spans="1:14" x14ac:dyDescent="0.45">
      <c r="A58" s="165" t="s">
        <v>1271</v>
      </c>
      <c r="B58" s="166" t="s">
        <v>1302</v>
      </c>
      <c r="C58" s="166" t="s">
        <v>1300</v>
      </c>
      <c r="D58" s="167">
        <v>87</v>
      </c>
      <c r="E58" s="167">
        <v>221</v>
      </c>
      <c r="F58" s="167">
        <v>134</v>
      </c>
      <c r="G58" s="166" t="s">
        <v>1303</v>
      </c>
      <c r="H58" s="167" t="s">
        <v>985</v>
      </c>
      <c r="I58" s="168">
        <v>1</v>
      </c>
      <c r="J58" s="169">
        <v>6.4580000000000002</v>
      </c>
      <c r="K58" s="166">
        <v>0.218</v>
      </c>
      <c r="L58" s="166" t="s">
        <v>1304</v>
      </c>
      <c r="M58" s="167">
        <v>7</v>
      </c>
      <c r="N58" s="202" t="s">
        <v>1305</v>
      </c>
    </row>
    <row r="59" spans="1:14" x14ac:dyDescent="0.45">
      <c r="A59" s="165" t="s">
        <v>1271</v>
      </c>
      <c r="B59" s="166" t="s">
        <v>1306</v>
      </c>
      <c r="C59" s="166" t="s">
        <v>1304</v>
      </c>
      <c r="D59" s="167">
        <v>85</v>
      </c>
      <c r="E59" s="167">
        <v>217</v>
      </c>
      <c r="F59" s="167">
        <v>132</v>
      </c>
      <c r="G59" s="166" t="s">
        <v>1307</v>
      </c>
      <c r="H59" s="167" t="s">
        <v>985</v>
      </c>
      <c r="I59" s="170">
        <v>0.99990000000000001</v>
      </c>
      <c r="J59" s="169">
        <v>7.202</v>
      </c>
      <c r="K59" s="166" t="s">
        <v>11</v>
      </c>
      <c r="L59" s="166" t="s">
        <v>1308</v>
      </c>
      <c r="M59" s="167">
        <v>8</v>
      </c>
      <c r="N59" s="202" t="s">
        <v>1309</v>
      </c>
    </row>
    <row r="60" spans="1:14" x14ac:dyDescent="0.45">
      <c r="A60" s="165" t="s">
        <v>1271</v>
      </c>
      <c r="B60" s="166" t="s">
        <v>1310</v>
      </c>
      <c r="C60" s="166" t="s">
        <v>1308</v>
      </c>
      <c r="D60" s="167">
        <v>83</v>
      </c>
      <c r="E60" s="167">
        <v>213</v>
      </c>
      <c r="F60" s="167">
        <v>130</v>
      </c>
      <c r="G60" s="166" t="s">
        <v>1311</v>
      </c>
      <c r="H60" s="167" t="s">
        <v>1249</v>
      </c>
      <c r="I60" s="167" t="s">
        <v>1312</v>
      </c>
      <c r="J60" s="169" t="s">
        <v>1313</v>
      </c>
      <c r="K60" s="166">
        <v>0.44</v>
      </c>
      <c r="L60" s="166" t="s">
        <v>1314</v>
      </c>
      <c r="M60" s="167">
        <v>9</v>
      </c>
      <c r="N60" s="202" t="s">
        <v>1315</v>
      </c>
    </row>
    <row r="61" spans="1:14" x14ac:dyDescent="0.45">
      <c r="A61" s="165" t="s">
        <v>1271</v>
      </c>
      <c r="B61" s="166" t="s">
        <v>1316</v>
      </c>
      <c r="C61" s="166" t="s">
        <v>1317</v>
      </c>
      <c r="D61" s="167">
        <v>84</v>
      </c>
      <c r="E61" s="167">
        <v>213</v>
      </c>
      <c r="F61" s="167">
        <v>129</v>
      </c>
      <c r="G61" s="166" t="s">
        <v>1318</v>
      </c>
      <c r="H61" s="167" t="s">
        <v>985</v>
      </c>
      <c r="I61" s="168">
        <v>1</v>
      </c>
      <c r="J61" s="169">
        <v>8.5359999999999996</v>
      </c>
      <c r="K61" s="166" t="s">
        <v>11</v>
      </c>
      <c r="L61" s="166" t="s">
        <v>1319</v>
      </c>
      <c r="M61" s="167" t="s">
        <v>1259</v>
      </c>
      <c r="N61" s="202" t="s">
        <v>1320</v>
      </c>
    </row>
    <row r="62" spans="1:14" x14ac:dyDescent="0.45">
      <c r="A62" s="165" t="s">
        <v>1271</v>
      </c>
      <c r="B62" s="166" t="s">
        <v>1321</v>
      </c>
      <c r="C62" s="166" t="s">
        <v>1322</v>
      </c>
      <c r="D62" s="167">
        <v>81</v>
      </c>
      <c r="E62" s="167">
        <v>209</v>
      </c>
      <c r="F62" s="167">
        <v>128</v>
      </c>
      <c r="G62" s="166" t="s">
        <v>1323</v>
      </c>
      <c r="H62" s="167" t="s">
        <v>931</v>
      </c>
      <c r="I62" s="168">
        <v>1</v>
      </c>
      <c r="J62" s="169">
        <v>3.976</v>
      </c>
      <c r="K62" s="166" t="s">
        <v>1324</v>
      </c>
      <c r="L62" s="166" t="s">
        <v>1319</v>
      </c>
      <c r="M62" s="167" t="s">
        <v>1264</v>
      </c>
      <c r="N62" s="202" t="s">
        <v>1325</v>
      </c>
    </row>
    <row r="63" spans="1:14" x14ac:dyDescent="0.45">
      <c r="A63" s="165" t="s">
        <v>1271</v>
      </c>
      <c r="B63" s="166" t="s">
        <v>1326</v>
      </c>
      <c r="C63" s="166" t="s">
        <v>1319</v>
      </c>
      <c r="D63" s="167">
        <v>82</v>
      </c>
      <c r="E63" s="167">
        <v>209</v>
      </c>
      <c r="F63" s="167">
        <v>127</v>
      </c>
      <c r="G63" s="166" t="s">
        <v>1327</v>
      </c>
      <c r="H63" s="167" t="s">
        <v>931</v>
      </c>
      <c r="I63" s="168">
        <v>1</v>
      </c>
      <c r="J63" s="169">
        <v>0.64400000000000002</v>
      </c>
      <c r="K63" s="166" t="s">
        <v>11</v>
      </c>
      <c r="L63" s="166" t="s">
        <v>1328</v>
      </c>
      <c r="M63" s="167">
        <v>11</v>
      </c>
      <c r="N63" s="202" t="s">
        <v>1329</v>
      </c>
    </row>
    <row r="64" spans="1:14" x14ac:dyDescent="0.45">
      <c r="A64" s="165" t="s">
        <v>1271</v>
      </c>
      <c r="B64" s="166" t="s">
        <v>1330</v>
      </c>
      <c r="C64" s="166" t="s">
        <v>1331</v>
      </c>
      <c r="D64" s="167">
        <v>83</v>
      </c>
      <c r="E64" s="167">
        <v>209</v>
      </c>
      <c r="F64" s="167">
        <v>126</v>
      </c>
      <c r="G64" s="166" t="s">
        <v>1332</v>
      </c>
      <c r="H64" s="167" t="s">
        <v>985</v>
      </c>
      <c r="I64" s="168">
        <v>1</v>
      </c>
      <c r="J64" s="169">
        <v>3.137</v>
      </c>
      <c r="K64" s="166" t="s">
        <v>11</v>
      </c>
      <c r="L64" s="166" t="s">
        <v>1333</v>
      </c>
      <c r="M64" s="167">
        <v>12</v>
      </c>
      <c r="N64" s="202" t="s">
        <v>1334</v>
      </c>
    </row>
    <row r="65" spans="1:14" x14ac:dyDescent="0.45">
      <c r="A65" s="195" t="s">
        <v>1271</v>
      </c>
      <c r="B65" s="196" t="s">
        <v>1335</v>
      </c>
      <c r="C65" s="196" t="s">
        <v>1336</v>
      </c>
      <c r="D65" s="197">
        <v>81</v>
      </c>
      <c r="E65" s="197">
        <v>205</v>
      </c>
      <c r="F65" s="197">
        <v>124</v>
      </c>
      <c r="G65" s="196" t="s">
        <v>1152</v>
      </c>
      <c r="H65" s="197" t="s">
        <v>11</v>
      </c>
      <c r="I65" s="197" t="s">
        <v>11</v>
      </c>
      <c r="J65" s="198" t="s">
        <v>11</v>
      </c>
      <c r="K65" s="196" t="s">
        <v>11</v>
      </c>
      <c r="L65" s="196" t="s">
        <v>11</v>
      </c>
      <c r="M65" s="197" t="s">
        <v>1153</v>
      </c>
      <c r="N65" s="203" t="s">
        <v>1337</v>
      </c>
    </row>
    <row r="66" spans="1:14" x14ac:dyDescent="0.45">
      <c r="A66" s="165"/>
      <c r="B66" s="166"/>
      <c r="C66" s="166"/>
      <c r="D66" s="167"/>
      <c r="E66" s="167"/>
      <c r="F66" s="167"/>
      <c r="G66" s="166"/>
      <c r="H66" s="167"/>
      <c r="I66" s="167"/>
      <c r="J66" s="169"/>
      <c r="K66" s="166"/>
      <c r="L66" s="166"/>
      <c r="M66" s="167"/>
      <c r="N66" s="202"/>
    </row>
    <row r="67" spans="1:14" x14ac:dyDescent="0.45">
      <c r="A67" s="171" t="s">
        <v>1338</v>
      </c>
      <c r="B67" s="172"/>
      <c r="C67" s="172"/>
      <c r="D67" s="173"/>
      <c r="E67" s="173"/>
      <c r="F67" s="173"/>
      <c r="G67" s="172"/>
      <c r="H67" s="173"/>
      <c r="I67" s="173"/>
      <c r="J67" s="174"/>
      <c r="K67" s="172"/>
      <c r="L67" s="172"/>
      <c r="M67" s="173"/>
      <c r="N67" s="205" t="s">
        <v>1339</v>
      </c>
    </row>
    <row r="68" spans="1:14" x14ac:dyDescent="0.45">
      <c r="A68" s="165" t="s">
        <v>1340</v>
      </c>
      <c r="B68" s="166" t="s">
        <v>1341</v>
      </c>
      <c r="C68" s="166" t="s">
        <v>1342</v>
      </c>
      <c r="D68" s="167">
        <v>42</v>
      </c>
      <c r="E68" s="167">
        <v>99</v>
      </c>
      <c r="F68" s="167">
        <v>57</v>
      </c>
      <c r="G68" s="166" t="s">
        <v>1343</v>
      </c>
      <c r="H68" s="167" t="s">
        <v>931</v>
      </c>
      <c r="I68" s="167" t="s">
        <v>1344</v>
      </c>
      <c r="J68" s="169">
        <v>1.214</v>
      </c>
      <c r="K68" s="166" t="s">
        <v>1345</v>
      </c>
      <c r="L68" s="166" t="s">
        <v>1346</v>
      </c>
      <c r="M68" s="167">
        <v>1</v>
      </c>
      <c r="N68" s="202" t="s">
        <v>1347</v>
      </c>
    </row>
    <row r="69" spans="1:14" x14ac:dyDescent="0.45">
      <c r="A69" s="165" t="s">
        <v>1340</v>
      </c>
      <c r="B69" s="166" t="s">
        <v>960</v>
      </c>
      <c r="C69" s="166" t="s">
        <v>961</v>
      </c>
      <c r="D69" s="167">
        <v>43</v>
      </c>
      <c r="E69" s="167">
        <v>99</v>
      </c>
      <c r="F69" s="167">
        <v>56</v>
      </c>
      <c r="G69" s="166" t="s">
        <v>1348</v>
      </c>
      <c r="H69" s="167" t="s">
        <v>963</v>
      </c>
      <c r="I69" s="170">
        <v>0.99995999999999996</v>
      </c>
      <c r="J69" s="169" t="s">
        <v>11</v>
      </c>
      <c r="K69" s="166">
        <v>0.14000000000000001</v>
      </c>
      <c r="L69" s="166" t="s">
        <v>1349</v>
      </c>
      <c r="M69" s="167">
        <v>2</v>
      </c>
      <c r="N69" s="202" t="s">
        <v>1350</v>
      </c>
    </row>
    <row r="70" spans="1:14" x14ac:dyDescent="0.45">
      <c r="A70" s="165" t="s">
        <v>1340</v>
      </c>
      <c r="B70" s="166" t="s">
        <v>1351</v>
      </c>
      <c r="C70" s="166" t="s">
        <v>1349</v>
      </c>
      <c r="D70" s="167">
        <v>43</v>
      </c>
      <c r="E70" s="167">
        <v>99</v>
      </c>
      <c r="F70" s="167">
        <v>56</v>
      </c>
      <c r="G70" s="166" t="s">
        <v>1352</v>
      </c>
      <c r="H70" s="167" t="s">
        <v>931</v>
      </c>
      <c r="I70" s="168">
        <v>1</v>
      </c>
      <c r="J70" s="169">
        <v>0.29399999999999998</v>
      </c>
      <c r="K70" s="166" t="s">
        <v>11</v>
      </c>
      <c r="L70" s="166" t="s">
        <v>1353</v>
      </c>
      <c r="M70" s="167">
        <v>3</v>
      </c>
      <c r="N70" s="202" t="s">
        <v>1354</v>
      </c>
    </row>
    <row r="71" spans="1:14" x14ac:dyDescent="0.45">
      <c r="A71" s="165"/>
      <c r="B71" s="166"/>
      <c r="C71" s="166"/>
      <c r="D71" s="167"/>
      <c r="E71" s="167"/>
      <c r="F71" s="167"/>
      <c r="G71" s="166"/>
      <c r="H71" s="167"/>
      <c r="I71" s="167"/>
      <c r="J71" s="169"/>
      <c r="K71" s="166"/>
      <c r="L71" s="166"/>
      <c r="M71" s="167"/>
      <c r="N71" s="202"/>
    </row>
    <row r="72" spans="1:14" x14ac:dyDescent="0.45">
      <c r="A72" s="165" t="s">
        <v>1355</v>
      </c>
      <c r="B72" s="166" t="s">
        <v>935</v>
      </c>
      <c r="C72" s="166" t="s">
        <v>936</v>
      </c>
      <c r="D72" s="167">
        <v>9</v>
      </c>
      <c r="E72" s="167">
        <v>18</v>
      </c>
      <c r="F72" s="167">
        <v>9</v>
      </c>
      <c r="G72" s="166" t="s">
        <v>937</v>
      </c>
      <c r="H72" s="167" t="s">
        <v>1356</v>
      </c>
      <c r="I72" s="167" t="s">
        <v>1357</v>
      </c>
      <c r="J72" s="169">
        <v>0.63400000000000001</v>
      </c>
      <c r="K72" s="166" t="s">
        <v>1358</v>
      </c>
      <c r="L72" s="166" t="s">
        <v>1359</v>
      </c>
      <c r="M72" s="167">
        <v>1</v>
      </c>
      <c r="N72" s="202" t="s">
        <v>1360</v>
      </c>
    </row>
    <row r="73" spans="1:14" x14ac:dyDescent="0.45">
      <c r="A73" s="165"/>
      <c r="B73" s="166"/>
      <c r="C73" s="166"/>
      <c r="D73" s="167"/>
      <c r="E73" s="167"/>
      <c r="F73" s="167"/>
      <c r="G73" s="166"/>
      <c r="H73" s="167"/>
      <c r="I73" s="167"/>
      <c r="J73" s="169"/>
      <c r="K73" s="166"/>
      <c r="L73" s="166"/>
      <c r="M73" s="167"/>
      <c r="N73" s="202"/>
    </row>
    <row r="74" spans="1:14" x14ac:dyDescent="0.45">
      <c r="A74" s="165" t="s">
        <v>954</v>
      </c>
      <c r="B74" s="166" t="s">
        <v>953</v>
      </c>
      <c r="C74" s="166" t="s">
        <v>954</v>
      </c>
      <c r="D74" s="167">
        <v>31</v>
      </c>
      <c r="E74" s="167">
        <v>67</v>
      </c>
      <c r="F74" s="167">
        <v>36</v>
      </c>
      <c r="G74" s="166" t="s">
        <v>955</v>
      </c>
      <c r="H74" s="167" t="s">
        <v>945</v>
      </c>
      <c r="I74" s="168">
        <v>1</v>
      </c>
      <c r="J74" s="169" t="s">
        <v>11</v>
      </c>
      <c r="K74" s="166" t="s">
        <v>1361</v>
      </c>
      <c r="L74" s="166" t="s">
        <v>1362</v>
      </c>
      <c r="M74" s="167">
        <v>1</v>
      </c>
      <c r="N74" s="202" t="s">
        <v>1363</v>
      </c>
    </row>
    <row r="75" spans="1:14" x14ac:dyDescent="0.45">
      <c r="A75" s="165"/>
      <c r="B75" s="166"/>
      <c r="C75" s="166"/>
      <c r="D75" s="167"/>
      <c r="E75" s="167"/>
      <c r="F75" s="167"/>
      <c r="G75" s="166"/>
      <c r="H75" s="167"/>
      <c r="I75" s="167"/>
      <c r="J75" s="169"/>
      <c r="K75" s="166"/>
      <c r="L75" s="166"/>
      <c r="M75" s="167"/>
      <c r="N75" s="202"/>
    </row>
    <row r="76" spans="1:14" x14ac:dyDescent="0.45">
      <c r="A76" s="165" t="s">
        <v>979</v>
      </c>
      <c r="B76" s="166" t="s">
        <v>978</v>
      </c>
      <c r="C76" s="166" t="s">
        <v>979</v>
      </c>
      <c r="D76" s="167">
        <v>81</v>
      </c>
      <c r="E76" s="167">
        <v>201</v>
      </c>
      <c r="F76" s="167">
        <v>120</v>
      </c>
      <c r="G76" s="166" t="s">
        <v>980</v>
      </c>
      <c r="H76" s="167" t="s">
        <v>945</v>
      </c>
      <c r="I76" s="168">
        <v>1</v>
      </c>
      <c r="J76" s="169" t="s">
        <v>11</v>
      </c>
      <c r="K76" s="166" t="s">
        <v>1364</v>
      </c>
      <c r="L76" s="166" t="s">
        <v>1365</v>
      </c>
      <c r="M76" s="167">
        <v>1</v>
      </c>
      <c r="N76" s="202" t="s">
        <v>1366</v>
      </c>
    </row>
    <row r="77" spans="1:14" x14ac:dyDescent="0.45">
      <c r="A77" s="165"/>
      <c r="B77" s="166"/>
      <c r="C77" s="166"/>
      <c r="D77" s="167"/>
      <c r="E77" s="167"/>
      <c r="F77" s="167"/>
      <c r="G77" s="166"/>
      <c r="H77" s="167"/>
      <c r="I77" s="167"/>
      <c r="J77" s="169"/>
      <c r="K77" s="166"/>
      <c r="L77" s="166"/>
      <c r="M77" s="167"/>
      <c r="N77" s="202"/>
    </row>
    <row r="78" spans="1:14" x14ac:dyDescent="0.45">
      <c r="A78" s="165" t="s">
        <v>968</v>
      </c>
      <c r="B78" s="166" t="s">
        <v>967</v>
      </c>
      <c r="C78" s="166" t="s">
        <v>968</v>
      </c>
      <c r="D78" s="167">
        <v>53</v>
      </c>
      <c r="E78" s="167">
        <v>131</v>
      </c>
      <c r="F78" s="167">
        <v>78</v>
      </c>
      <c r="G78" s="166" t="s">
        <v>1367</v>
      </c>
      <c r="H78" s="167" t="s">
        <v>931</v>
      </c>
      <c r="I78" s="168">
        <v>1</v>
      </c>
      <c r="J78" s="169">
        <v>0.60599999999999998</v>
      </c>
      <c r="K78" s="166" t="s">
        <v>1368</v>
      </c>
      <c r="L78" s="166" t="s">
        <v>1369</v>
      </c>
      <c r="M78" s="167">
        <v>1</v>
      </c>
      <c r="N78" s="202" t="s">
        <v>1370</v>
      </c>
    </row>
    <row r="79" spans="1:14" x14ac:dyDescent="0.45">
      <c r="A79" s="165"/>
      <c r="B79" s="166"/>
      <c r="C79" s="166"/>
      <c r="D79" s="167"/>
      <c r="E79" s="167"/>
      <c r="F79" s="167"/>
      <c r="G79" s="166"/>
      <c r="H79" s="167"/>
      <c r="I79" s="167"/>
      <c r="J79" s="169"/>
      <c r="K79" s="166"/>
      <c r="L79" s="166"/>
      <c r="M79" s="167"/>
      <c r="N79" s="202"/>
    </row>
    <row r="80" spans="1:14" x14ac:dyDescent="0.45">
      <c r="A80" s="165" t="s">
        <v>965</v>
      </c>
      <c r="B80" s="166" t="s">
        <v>964</v>
      </c>
      <c r="C80" s="166" t="s">
        <v>965</v>
      </c>
      <c r="D80" s="167">
        <v>53</v>
      </c>
      <c r="E80" s="167">
        <v>125</v>
      </c>
      <c r="F80" s="167">
        <v>72</v>
      </c>
      <c r="G80" s="166" t="s">
        <v>966</v>
      </c>
      <c r="H80" s="167" t="s">
        <v>945</v>
      </c>
      <c r="I80" s="168">
        <v>1</v>
      </c>
      <c r="J80" s="169" t="s">
        <v>11</v>
      </c>
      <c r="K80" s="166" t="s">
        <v>1371</v>
      </c>
      <c r="L80" s="166" t="s">
        <v>1372</v>
      </c>
      <c r="M80" s="167">
        <v>1</v>
      </c>
      <c r="N80" s="202" t="s">
        <v>1373</v>
      </c>
    </row>
    <row r="81" spans="1:14" x14ac:dyDescent="0.45">
      <c r="A81" s="165"/>
      <c r="B81" s="166"/>
      <c r="C81" s="166"/>
      <c r="D81" s="167"/>
      <c r="E81" s="167"/>
      <c r="F81" s="167"/>
      <c r="G81" s="166"/>
      <c r="H81" s="167"/>
      <c r="I81" s="167"/>
      <c r="J81" s="169"/>
      <c r="K81" s="166"/>
      <c r="L81" s="166"/>
      <c r="M81" s="167"/>
      <c r="N81" s="202"/>
    </row>
    <row r="82" spans="1:14" x14ac:dyDescent="0.45">
      <c r="A82" s="165" t="s">
        <v>974</v>
      </c>
      <c r="B82" s="166" t="s">
        <v>973</v>
      </c>
      <c r="C82" s="166" t="s">
        <v>974</v>
      </c>
      <c r="D82" s="167">
        <v>77</v>
      </c>
      <c r="E82" s="167">
        <v>192</v>
      </c>
      <c r="F82" s="167">
        <v>115</v>
      </c>
      <c r="G82" s="166" t="s">
        <v>975</v>
      </c>
      <c r="H82" s="167" t="s">
        <v>1374</v>
      </c>
      <c r="I82" s="167" t="s">
        <v>1375</v>
      </c>
      <c r="J82" s="169">
        <v>0.67200000000000004</v>
      </c>
      <c r="K82" s="166" t="s">
        <v>1376</v>
      </c>
      <c r="L82" s="166" t="s">
        <v>1377</v>
      </c>
      <c r="M82" s="167">
        <v>1</v>
      </c>
      <c r="N82" s="202" t="s">
        <v>1378</v>
      </c>
    </row>
    <row r="83" spans="1:14" x14ac:dyDescent="0.45">
      <c r="A83" s="165" t="s">
        <v>974</v>
      </c>
      <c r="B83" s="166" t="s">
        <v>1379</v>
      </c>
      <c r="C83" s="166" t="s">
        <v>1380</v>
      </c>
      <c r="D83" s="167">
        <v>78</v>
      </c>
      <c r="E83" s="167">
        <v>192</v>
      </c>
      <c r="F83" s="167">
        <v>114</v>
      </c>
      <c r="G83" s="166" t="s">
        <v>1152</v>
      </c>
      <c r="H83" s="167" t="s">
        <v>11</v>
      </c>
      <c r="I83" s="167" t="s">
        <v>11</v>
      </c>
      <c r="J83" s="169" t="s">
        <v>11</v>
      </c>
      <c r="K83" s="166" t="s">
        <v>11</v>
      </c>
      <c r="L83" s="166" t="s">
        <v>11</v>
      </c>
      <c r="M83" s="167" t="s">
        <v>1153</v>
      </c>
      <c r="N83" s="202" t="s">
        <v>1381</v>
      </c>
    </row>
    <row r="84" spans="1:14" x14ac:dyDescent="0.45">
      <c r="A84" s="165" t="s">
        <v>974</v>
      </c>
      <c r="B84" s="166" t="s">
        <v>1382</v>
      </c>
      <c r="C84" s="166" t="s">
        <v>1383</v>
      </c>
      <c r="D84" s="167">
        <v>76</v>
      </c>
      <c r="E84" s="167">
        <v>192</v>
      </c>
      <c r="F84" s="167">
        <v>116</v>
      </c>
      <c r="G84" s="166" t="s">
        <v>1152</v>
      </c>
      <c r="H84" s="167" t="s">
        <v>11</v>
      </c>
      <c r="I84" s="167" t="s">
        <v>11</v>
      </c>
      <c r="J84" s="169" t="s">
        <v>11</v>
      </c>
      <c r="K84" s="166" t="s">
        <v>11</v>
      </c>
      <c r="L84" s="166" t="s">
        <v>11</v>
      </c>
      <c r="M84" s="167" t="s">
        <v>1153</v>
      </c>
      <c r="N84" s="202" t="s">
        <v>1384</v>
      </c>
    </row>
    <row r="85" spans="1:14" x14ac:dyDescent="0.45">
      <c r="A85" s="165"/>
      <c r="B85" s="166"/>
      <c r="C85" s="166"/>
      <c r="D85" s="167"/>
      <c r="E85" s="167"/>
      <c r="F85" s="167"/>
      <c r="G85" s="166"/>
      <c r="H85" s="167"/>
      <c r="I85" s="167"/>
      <c r="J85" s="169"/>
      <c r="K85" s="166"/>
      <c r="L85" s="166"/>
      <c r="M85" s="167"/>
      <c r="N85" s="202"/>
    </row>
    <row r="86" spans="1:14" x14ac:dyDescent="0.45">
      <c r="A86" s="175" t="s">
        <v>1385</v>
      </c>
      <c r="B86" s="176"/>
      <c r="C86" s="176"/>
      <c r="D86" s="177"/>
      <c r="E86" s="177"/>
      <c r="F86" s="177"/>
      <c r="G86" s="176"/>
      <c r="H86" s="177"/>
      <c r="I86" s="177"/>
      <c r="J86" s="178"/>
      <c r="K86" s="176"/>
      <c r="L86" s="176"/>
      <c r="M86" s="177"/>
      <c r="N86" s="206" t="s">
        <v>1386</v>
      </c>
    </row>
    <row r="87" spans="1:14" x14ac:dyDescent="0.45">
      <c r="A87" s="165" t="s">
        <v>1387</v>
      </c>
      <c r="B87" s="166" t="s">
        <v>970</v>
      </c>
      <c r="C87" s="166" t="s">
        <v>971</v>
      </c>
      <c r="D87" s="167">
        <v>55</v>
      </c>
      <c r="E87" s="167">
        <v>137</v>
      </c>
      <c r="F87" s="167">
        <v>82</v>
      </c>
      <c r="G87" s="166" t="s">
        <v>972</v>
      </c>
      <c r="H87" s="167" t="s">
        <v>931</v>
      </c>
      <c r="I87" s="167" t="s">
        <v>1388</v>
      </c>
      <c r="J87" s="169">
        <v>0.51400000000000001</v>
      </c>
      <c r="K87" s="166" t="s">
        <v>1389</v>
      </c>
      <c r="L87" s="166" t="s">
        <v>1390</v>
      </c>
      <c r="M87" s="167">
        <v>1</v>
      </c>
      <c r="N87" s="202" t="s">
        <v>1391</v>
      </c>
    </row>
    <row r="88" spans="1:14" x14ac:dyDescent="0.45">
      <c r="A88" s="165" t="s">
        <v>1387</v>
      </c>
      <c r="B88" s="166" t="s">
        <v>1392</v>
      </c>
      <c r="C88" s="166" t="s">
        <v>1393</v>
      </c>
      <c r="D88" s="167">
        <v>56</v>
      </c>
      <c r="E88" s="167">
        <v>137</v>
      </c>
      <c r="F88" s="167">
        <v>81</v>
      </c>
      <c r="G88" s="166" t="s">
        <v>1394</v>
      </c>
      <c r="H88" s="167" t="s">
        <v>963</v>
      </c>
      <c r="I88" s="168">
        <v>1</v>
      </c>
      <c r="J88" s="169" t="s">
        <v>11</v>
      </c>
      <c r="K88" s="166">
        <v>0.66200000000000003</v>
      </c>
      <c r="L88" s="166" t="s">
        <v>1395</v>
      </c>
      <c r="M88" s="167">
        <v>2</v>
      </c>
      <c r="N88" s="202" t="s">
        <v>1396</v>
      </c>
    </row>
    <row r="89" spans="1:14" x14ac:dyDescent="0.45">
      <c r="A89" s="165"/>
      <c r="B89" s="166"/>
      <c r="C89" s="166"/>
      <c r="D89" s="167"/>
      <c r="E89" s="167"/>
      <c r="F89" s="167"/>
      <c r="G89" s="166"/>
      <c r="H89" s="167"/>
      <c r="I89" s="167"/>
      <c r="J89" s="169"/>
      <c r="K89" s="166"/>
      <c r="L89" s="166"/>
      <c r="M89" s="167"/>
      <c r="N89" s="202"/>
    </row>
    <row r="90" spans="1:14" x14ac:dyDescent="0.45">
      <c r="A90" s="165" t="s">
        <v>1397</v>
      </c>
      <c r="B90" s="166" t="s">
        <v>957</v>
      </c>
      <c r="C90" s="166" t="s">
        <v>958</v>
      </c>
      <c r="D90" s="167">
        <v>38</v>
      </c>
      <c r="E90" s="167">
        <v>90</v>
      </c>
      <c r="F90" s="167">
        <v>52</v>
      </c>
      <c r="G90" s="166" t="s">
        <v>959</v>
      </c>
      <c r="H90" s="167" t="s">
        <v>931</v>
      </c>
      <c r="I90" s="168">
        <v>1</v>
      </c>
      <c r="J90" s="169">
        <v>0.54600000000000004</v>
      </c>
      <c r="K90" s="166" t="s">
        <v>11</v>
      </c>
      <c r="L90" s="166" t="s">
        <v>1398</v>
      </c>
      <c r="M90" s="167">
        <v>1</v>
      </c>
      <c r="N90" s="202" t="s">
        <v>1399</v>
      </c>
    </row>
    <row r="91" spans="1:14" x14ac:dyDescent="0.45">
      <c r="A91" s="165" t="s">
        <v>1397</v>
      </c>
      <c r="B91" s="166" t="s">
        <v>1400</v>
      </c>
      <c r="C91" s="166" t="s">
        <v>1398</v>
      </c>
      <c r="D91" s="167">
        <v>39</v>
      </c>
      <c r="E91" s="167">
        <v>90</v>
      </c>
      <c r="F91" s="167">
        <v>51</v>
      </c>
      <c r="G91" s="166" t="s">
        <v>1401</v>
      </c>
      <c r="H91" s="167" t="s">
        <v>931</v>
      </c>
      <c r="I91" s="168">
        <v>1</v>
      </c>
      <c r="J91" s="169">
        <v>2.2799999999999998</v>
      </c>
      <c r="K91" s="166" t="s">
        <v>11</v>
      </c>
      <c r="L91" s="166" t="s">
        <v>1402</v>
      </c>
      <c r="M91" s="167">
        <v>2</v>
      </c>
      <c r="N91" s="202" t="s">
        <v>1403</v>
      </c>
    </row>
    <row r="92" spans="1:14" x14ac:dyDescent="0.45">
      <c r="A92" s="165"/>
      <c r="B92" s="166"/>
      <c r="C92" s="166"/>
      <c r="D92" s="167"/>
      <c r="E92" s="167"/>
      <c r="F92" s="167"/>
      <c r="G92" s="166"/>
      <c r="H92" s="167"/>
      <c r="I92" s="167"/>
      <c r="J92" s="169"/>
      <c r="K92" s="166"/>
      <c r="L92" s="166"/>
      <c r="M92" s="167"/>
      <c r="N92" s="202"/>
    </row>
    <row r="93" spans="1:14" x14ac:dyDescent="0.45">
      <c r="A93" s="165" t="s">
        <v>950</v>
      </c>
      <c r="B93" s="166" t="s">
        <v>949</v>
      </c>
      <c r="C93" s="166" t="s">
        <v>950</v>
      </c>
      <c r="D93" s="167">
        <v>27</v>
      </c>
      <c r="E93" s="167">
        <v>60</v>
      </c>
      <c r="F93" s="167">
        <v>33</v>
      </c>
      <c r="G93" s="166" t="s">
        <v>1404</v>
      </c>
      <c r="H93" s="167" t="s">
        <v>931</v>
      </c>
      <c r="I93" s="168">
        <v>1</v>
      </c>
      <c r="J93" s="169">
        <v>0.318</v>
      </c>
      <c r="K93" s="166" t="s">
        <v>1405</v>
      </c>
      <c r="L93" s="166" t="s">
        <v>1406</v>
      </c>
      <c r="M93" s="167">
        <v>1</v>
      </c>
      <c r="N93" s="202" t="s">
        <v>1407</v>
      </c>
    </row>
    <row r="94" spans="1:14" x14ac:dyDescent="0.45">
      <c r="A94" s="165"/>
      <c r="B94" s="166"/>
      <c r="C94" s="166"/>
      <c r="D94" s="167"/>
      <c r="E94" s="167"/>
      <c r="F94" s="167"/>
      <c r="G94" s="166"/>
      <c r="H94" s="167"/>
      <c r="I94" s="167"/>
      <c r="J94" s="169"/>
      <c r="K94" s="166"/>
      <c r="L94" s="166"/>
      <c r="M94" s="167"/>
      <c r="N94" s="202"/>
    </row>
    <row r="95" spans="1:14" x14ac:dyDescent="0.45">
      <c r="A95" s="165" t="s">
        <v>947</v>
      </c>
      <c r="B95" s="166" t="s">
        <v>946</v>
      </c>
      <c r="C95" s="166" t="s">
        <v>947</v>
      </c>
      <c r="D95" s="167">
        <v>27</v>
      </c>
      <c r="E95" s="167">
        <v>57</v>
      </c>
      <c r="F95" s="167">
        <v>30</v>
      </c>
      <c r="G95" s="166" t="s">
        <v>948</v>
      </c>
      <c r="H95" s="167" t="s">
        <v>945</v>
      </c>
      <c r="I95" s="168">
        <v>1</v>
      </c>
      <c r="J95" s="169" t="s">
        <v>11</v>
      </c>
      <c r="K95" s="166" t="s">
        <v>1408</v>
      </c>
      <c r="L95" s="166" t="s">
        <v>1409</v>
      </c>
      <c r="M95" s="167">
        <v>1</v>
      </c>
      <c r="N95" s="202" t="s">
        <v>1410</v>
      </c>
    </row>
    <row r="96" spans="1:14" x14ac:dyDescent="0.45">
      <c r="A96" s="165"/>
      <c r="B96" s="166"/>
      <c r="C96" s="166"/>
      <c r="D96" s="167"/>
      <c r="E96" s="167"/>
      <c r="F96" s="167"/>
      <c r="G96" s="166"/>
      <c r="H96" s="167"/>
      <c r="I96" s="167"/>
      <c r="J96" s="169"/>
      <c r="K96" s="166"/>
      <c r="L96" s="166"/>
      <c r="M96" s="167"/>
      <c r="N96" s="202"/>
    </row>
    <row r="97" spans="1:14" x14ac:dyDescent="0.45">
      <c r="A97" s="165" t="s">
        <v>943</v>
      </c>
      <c r="B97" s="166" t="s">
        <v>942</v>
      </c>
      <c r="C97" s="166" t="s">
        <v>943</v>
      </c>
      <c r="D97" s="167">
        <v>24</v>
      </c>
      <c r="E97" s="167">
        <v>51</v>
      </c>
      <c r="F97" s="167">
        <v>27</v>
      </c>
      <c r="G97" s="166" t="s">
        <v>944</v>
      </c>
      <c r="H97" s="167" t="s">
        <v>945</v>
      </c>
      <c r="I97" s="168">
        <v>1</v>
      </c>
      <c r="J97" s="169" t="s">
        <v>11</v>
      </c>
      <c r="K97" s="166">
        <v>0.32</v>
      </c>
      <c r="L97" s="166" t="s">
        <v>1411</v>
      </c>
      <c r="M97" s="167">
        <v>1</v>
      </c>
      <c r="N97" s="202" t="s">
        <v>1412</v>
      </c>
    </row>
    <row r="98" spans="1:14" x14ac:dyDescent="0.45">
      <c r="A98" s="165"/>
      <c r="B98" s="166"/>
      <c r="C98" s="166"/>
      <c r="D98" s="167"/>
      <c r="E98" s="167"/>
      <c r="F98" s="167"/>
      <c r="G98" s="166"/>
      <c r="H98" s="167"/>
      <c r="I98" s="167"/>
      <c r="J98" s="169"/>
      <c r="K98" s="166"/>
      <c r="L98" s="166"/>
      <c r="M98" s="167"/>
      <c r="N98" s="202"/>
    </row>
    <row r="99" spans="1:14" x14ac:dyDescent="0.45">
      <c r="A99" s="165" t="s">
        <v>929</v>
      </c>
      <c r="B99" s="166" t="s">
        <v>1413</v>
      </c>
      <c r="C99" s="166" t="s">
        <v>929</v>
      </c>
      <c r="D99" s="167">
        <v>1</v>
      </c>
      <c r="E99" s="167">
        <v>3</v>
      </c>
      <c r="F99" s="167">
        <v>2</v>
      </c>
      <c r="G99" s="166" t="s">
        <v>930</v>
      </c>
      <c r="H99" s="167" t="s">
        <v>931</v>
      </c>
      <c r="I99" s="168">
        <v>1</v>
      </c>
      <c r="J99" s="169">
        <v>1.8610000000000002E-2</v>
      </c>
      <c r="K99" s="166" t="s">
        <v>11</v>
      </c>
      <c r="L99" s="166" t="s">
        <v>1414</v>
      </c>
      <c r="M99" s="167">
        <v>1</v>
      </c>
      <c r="N99" s="202" t="s">
        <v>1415</v>
      </c>
    </row>
    <row r="100" spans="1:14" x14ac:dyDescent="0.45">
      <c r="A100" s="165"/>
      <c r="B100" s="166"/>
      <c r="C100" s="166"/>
      <c r="D100" s="167"/>
      <c r="E100" s="167"/>
      <c r="F100" s="167"/>
      <c r="G100" s="166"/>
      <c r="H100" s="167"/>
      <c r="I100" s="167"/>
      <c r="J100" s="169"/>
      <c r="K100" s="166"/>
      <c r="L100" s="166"/>
      <c r="M100" s="167"/>
      <c r="N100" s="202"/>
    </row>
    <row r="101" spans="1:14" x14ac:dyDescent="0.45">
      <c r="A101" s="165" t="s">
        <v>933</v>
      </c>
      <c r="B101" s="166" t="s">
        <v>932</v>
      </c>
      <c r="C101" s="166" t="s">
        <v>933</v>
      </c>
      <c r="D101" s="167">
        <v>6</v>
      </c>
      <c r="E101" s="167">
        <v>14</v>
      </c>
      <c r="F101" s="167">
        <v>8</v>
      </c>
      <c r="G101" s="166" t="s">
        <v>934</v>
      </c>
      <c r="H101" s="167" t="s">
        <v>931</v>
      </c>
      <c r="I101" s="168">
        <v>1</v>
      </c>
      <c r="J101" s="169">
        <v>0.156</v>
      </c>
      <c r="K101" s="166" t="s">
        <v>11</v>
      </c>
      <c r="L101" s="166" t="s">
        <v>1416</v>
      </c>
      <c r="M101" s="167">
        <v>1</v>
      </c>
      <c r="N101" s="202" t="s">
        <v>1417</v>
      </c>
    </row>
    <row r="102" spans="1:14" x14ac:dyDescent="0.45">
      <c r="A102" s="165"/>
      <c r="B102" s="166"/>
      <c r="C102" s="166"/>
      <c r="D102" s="167"/>
      <c r="E102" s="167"/>
      <c r="F102" s="167"/>
      <c r="G102" s="166"/>
      <c r="H102" s="167"/>
      <c r="I102" s="167"/>
      <c r="J102" s="169"/>
      <c r="K102" s="166"/>
      <c r="L102" s="166"/>
      <c r="M102" s="167"/>
      <c r="N102" s="202"/>
    </row>
    <row r="103" spans="1:14" x14ac:dyDescent="0.45">
      <c r="A103" s="195" t="s">
        <v>940</v>
      </c>
      <c r="B103" s="196" t="s">
        <v>939</v>
      </c>
      <c r="C103" s="196" t="s">
        <v>940</v>
      </c>
      <c r="D103" s="197">
        <v>15</v>
      </c>
      <c r="E103" s="197">
        <v>32</v>
      </c>
      <c r="F103" s="197">
        <v>17</v>
      </c>
      <c r="G103" s="196" t="s">
        <v>1418</v>
      </c>
      <c r="H103" s="197" t="s">
        <v>931</v>
      </c>
      <c r="I103" s="199">
        <v>1</v>
      </c>
      <c r="J103" s="198">
        <v>1.7110000000000001</v>
      </c>
      <c r="K103" s="196" t="s">
        <v>11</v>
      </c>
      <c r="L103" s="196" t="s">
        <v>1419</v>
      </c>
      <c r="M103" s="197">
        <v>1</v>
      </c>
      <c r="N103" s="207" t="s">
        <v>1420</v>
      </c>
    </row>
    <row r="104" spans="1:14" x14ac:dyDescent="0.45">
      <c r="A104" s="165"/>
      <c r="B104" s="166"/>
      <c r="C104" s="166"/>
      <c r="D104" s="167"/>
      <c r="E104" s="167"/>
      <c r="F104" s="167"/>
      <c r="G104" s="166"/>
      <c r="H104" s="167"/>
      <c r="I104" s="167"/>
      <c r="J104" s="169"/>
      <c r="K104" s="166"/>
      <c r="L104" s="166"/>
      <c r="M104" s="167"/>
      <c r="N104" s="202"/>
    </row>
    <row r="105" spans="1:14" x14ac:dyDescent="0.45">
      <c r="A105" s="179" t="s">
        <v>1421</v>
      </c>
      <c r="B105" s="180"/>
      <c r="C105" s="180"/>
      <c r="D105" s="181"/>
      <c r="E105" s="181"/>
      <c r="F105" s="181"/>
      <c r="G105" s="180"/>
      <c r="H105" s="181"/>
      <c r="I105" s="181"/>
      <c r="J105" s="182"/>
      <c r="K105" s="180"/>
      <c r="L105" s="180"/>
      <c r="M105" s="181"/>
      <c r="N105" s="208" t="s">
        <v>1422</v>
      </c>
    </row>
    <row r="106" spans="1:14" x14ac:dyDescent="0.45">
      <c r="A106" s="165" t="s">
        <v>1423</v>
      </c>
      <c r="B106" s="166" t="s">
        <v>993</v>
      </c>
      <c r="C106" s="166" t="s">
        <v>994</v>
      </c>
      <c r="D106" s="167">
        <v>94</v>
      </c>
      <c r="E106" s="167">
        <v>239</v>
      </c>
      <c r="F106" s="167">
        <v>145</v>
      </c>
      <c r="G106" s="166" t="s">
        <v>995</v>
      </c>
      <c r="H106" s="167" t="s">
        <v>985</v>
      </c>
      <c r="I106" s="168">
        <v>1</v>
      </c>
      <c r="J106" s="169">
        <v>5.2439999999999998</v>
      </c>
      <c r="K106" s="166" t="s">
        <v>1424</v>
      </c>
      <c r="L106" s="166" t="s">
        <v>988</v>
      </c>
      <c r="M106" s="167">
        <v>1</v>
      </c>
      <c r="N106" s="202" t="s">
        <v>1425</v>
      </c>
    </row>
    <row r="107" spans="1:14" x14ac:dyDescent="0.45">
      <c r="A107" s="165" t="s">
        <v>1423</v>
      </c>
      <c r="B107" s="166" t="s">
        <v>1426</v>
      </c>
      <c r="C107" s="166" t="s">
        <v>11</v>
      </c>
      <c r="D107" s="167" t="s">
        <v>11</v>
      </c>
      <c r="E107" s="167" t="s">
        <v>11</v>
      </c>
      <c r="F107" s="167" t="s">
        <v>11</v>
      </c>
      <c r="G107" s="166" t="s">
        <v>11</v>
      </c>
      <c r="H107" s="167" t="s">
        <v>11</v>
      </c>
      <c r="I107" s="167" t="s">
        <v>11</v>
      </c>
      <c r="J107" s="169" t="s">
        <v>11</v>
      </c>
      <c r="K107" s="166" t="s">
        <v>11</v>
      </c>
      <c r="L107" s="166" t="s">
        <v>11</v>
      </c>
      <c r="M107" s="167" t="s">
        <v>1427</v>
      </c>
      <c r="N107" s="202" t="s">
        <v>1428</v>
      </c>
    </row>
    <row r="108" spans="1:14" x14ac:dyDescent="0.45">
      <c r="A108" s="165"/>
      <c r="B108" s="166"/>
      <c r="C108" s="166"/>
      <c r="D108" s="167"/>
      <c r="E108" s="167"/>
      <c r="F108" s="167"/>
      <c r="G108" s="166"/>
      <c r="H108" s="167"/>
      <c r="I108" s="167"/>
      <c r="J108" s="169"/>
      <c r="K108" s="166"/>
      <c r="L108" s="166"/>
      <c r="M108" s="167"/>
      <c r="N108" s="202"/>
    </row>
    <row r="109" spans="1:14" x14ac:dyDescent="0.45">
      <c r="A109" s="165" t="s">
        <v>1429</v>
      </c>
      <c r="B109" s="166" t="s">
        <v>996</v>
      </c>
      <c r="C109" s="166" t="s">
        <v>997</v>
      </c>
      <c r="D109" s="167">
        <v>95</v>
      </c>
      <c r="E109" s="167">
        <v>241</v>
      </c>
      <c r="F109" s="167">
        <v>146</v>
      </c>
      <c r="G109" s="166" t="s">
        <v>998</v>
      </c>
      <c r="H109" s="167" t="s">
        <v>985</v>
      </c>
      <c r="I109" s="168">
        <v>1</v>
      </c>
      <c r="J109" s="169">
        <v>5.6379999999999999</v>
      </c>
      <c r="K109" s="166">
        <v>5.9499999999999997E-2</v>
      </c>
      <c r="L109" s="166" t="s">
        <v>1273</v>
      </c>
      <c r="M109" s="167">
        <v>1</v>
      </c>
      <c r="N109" s="202" t="s">
        <v>1430</v>
      </c>
    </row>
    <row r="110" spans="1:14" x14ac:dyDescent="0.45">
      <c r="A110" s="165" t="s">
        <v>1429</v>
      </c>
      <c r="B110" s="166" t="s">
        <v>1431</v>
      </c>
      <c r="C110" s="166" t="s">
        <v>11</v>
      </c>
      <c r="D110" s="167" t="s">
        <v>11</v>
      </c>
      <c r="E110" s="167" t="s">
        <v>11</v>
      </c>
      <c r="F110" s="167" t="s">
        <v>11</v>
      </c>
      <c r="G110" s="166" t="s">
        <v>11</v>
      </c>
      <c r="H110" s="167" t="s">
        <v>11</v>
      </c>
      <c r="I110" s="167" t="s">
        <v>11</v>
      </c>
      <c r="J110" s="169" t="s">
        <v>11</v>
      </c>
      <c r="K110" s="166" t="s">
        <v>11</v>
      </c>
      <c r="L110" s="166" t="s">
        <v>11</v>
      </c>
      <c r="M110" s="167" t="s">
        <v>1427</v>
      </c>
      <c r="N110" s="202" t="s">
        <v>1432</v>
      </c>
    </row>
    <row r="111" spans="1:14" x14ac:dyDescent="0.45">
      <c r="A111" s="165"/>
      <c r="B111" s="166"/>
      <c r="C111" s="166"/>
      <c r="D111" s="167"/>
      <c r="E111" s="167"/>
      <c r="F111" s="167"/>
      <c r="G111" s="166"/>
      <c r="H111" s="167"/>
      <c r="I111" s="167"/>
      <c r="J111" s="169"/>
      <c r="K111" s="166"/>
      <c r="L111" s="166"/>
      <c r="M111" s="167"/>
      <c r="N111" s="202"/>
    </row>
    <row r="112" spans="1:14" x14ac:dyDescent="0.45">
      <c r="A112" s="165" t="s">
        <v>1433</v>
      </c>
      <c r="B112" s="166" t="s">
        <v>1434</v>
      </c>
      <c r="C112" s="166" t="s">
        <v>1433</v>
      </c>
      <c r="D112" s="167">
        <v>19</v>
      </c>
      <c r="E112" s="167">
        <v>40</v>
      </c>
      <c r="F112" s="167">
        <v>21</v>
      </c>
      <c r="G112" s="166" t="s">
        <v>1435</v>
      </c>
      <c r="H112" s="167" t="s">
        <v>1374</v>
      </c>
      <c r="I112" s="167" t="s">
        <v>1436</v>
      </c>
      <c r="J112" s="169">
        <v>1.3109999999999999</v>
      </c>
      <c r="K112" s="166" t="s">
        <v>1437</v>
      </c>
      <c r="L112" s="166" t="s">
        <v>1438</v>
      </c>
      <c r="M112" s="167">
        <v>1</v>
      </c>
      <c r="N112" s="202" t="s">
        <v>1439</v>
      </c>
    </row>
    <row r="113" spans="1:14" x14ac:dyDescent="0.45">
      <c r="A113" s="165"/>
      <c r="B113" s="166"/>
      <c r="C113" s="166"/>
      <c r="D113" s="167"/>
      <c r="E113" s="167"/>
      <c r="F113" s="167"/>
      <c r="G113" s="166"/>
      <c r="H113" s="167"/>
      <c r="I113" s="167"/>
      <c r="J113" s="169"/>
      <c r="K113" s="166"/>
      <c r="L113" s="166"/>
      <c r="M113" s="167"/>
      <c r="N113" s="202"/>
    </row>
    <row r="114" spans="1:14" x14ac:dyDescent="0.45">
      <c r="A114" s="165" t="s">
        <v>1440</v>
      </c>
      <c r="B114" s="166" t="s">
        <v>1117</v>
      </c>
      <c r="C114" s="166" t="s">
        <v>1115</v>
      </c>
      <c r="D114" s="167">
        <v>86</v>
      </c>
      <c r="E114" s="167">
        <v>222</v>
      </c>
      <c r="F114" s="167">
        <v>136</v>
      </c>
      <c r="G114" s="166" t="s">
        <v>1118</v>
      </c>
      <c r="H114" s="167" t="s">
        <v>985</v>
      </c>
      <c r="I114" s="168">
        <v>1</v>
      </c>
      <c r="J114" s="169">
        <v>5.59</v>
      </c>
      <c r="K114" s="166">
        <v>0.51</v>
      </c>
      <c r="L114" s="166" t="s">
        <v>1119</v>
      </c>
      <c r="M114" s="167">
        <v>1</v>
      </c>
      <c r="N114" s="202" t="s">
        <v>1441</v>
      </c>
    </row>
    <row r="115" spans="1:14" x14ac:dyDescent="0.45">
      <c r="A115" s="165"/>
      <c r="B115" s="166"/>
      <c r="C115" s="166"/>
      <c r="D115" s="167"/>
      <c r="E115" s="167"/>
      <c r="F115" s="167"/>
      <c r="G115" s="166"/>
      <c r="H115" s="167"/>
      <c r="I115" s="167"/>
      <c r="J115" s="169"/>
      <c r="K115" s="166"/>
      <c r="L115" s="166"/>
      <c r="M115" s="167"/>
      <c r="N115" s="202"/>
    </row>
    <row r="116" spans="1:14" x14ac:dyDescent="0.45">
      <c r="A116" s="165" t="s">
        <v>1442</v>
      </c>
      <c r="B116" s="166" t="s">
        <v>1443</v>
      </c>
      <c r="C116" s="166" t="s">
        <v>1442</v>
      </c>
      <c r="D116" s="167">
        <v>54</v>
      </c>
      <c r="E116" s="167">
        <v>133</v>
      </c>
      <c r="F116" s="167">
        <v>79</v>
      </c>
      <c r="G116" s="166" t="s">
        <v>1444</v>
      </c>
      <c r="H116" s="167" t="s">
        <v>931</v>
      </c>
      <c r="I116" s="168">
        <v>1</v>
      </c>
      <c r="J116" s="169">
        <v>0.34599999999999997</v>
      </c>
      <c r="K116" s="166">
        <v>8.1000000000000003E-2</v>
      </c>
      <c r="L116" s="166" t="s">
        <v>1445</v>
      </c>
      <c r="M116" s="167">
        <v>1</v>
      </c>
      <c r="N116" s="202" t="s">
        <v>1446</v>
      </c>
    </row>
    <row r="117" spans="1:14" x14ac:dyDescent="0.45">
      <c r="A117" s="165"/>
      <c r="B117" s="166"/>
      <c r="C117" s="166"/>
      <c r="D117" s="167"/>
      <c r="E117" s="167"/>
      <c r="F117" s="167"/>
      <c r="G117" s="166"/>
      <c r="H117" s="167"/>
      <c r="I117" s="167"/>
      <c r="J117" s="169"/>
      <c r="K117" s="166"/>
      <c r="L117" s="166"/>
      <c r="M117" s="167"/>
      <c r="N117" s="202"/>
    </row>
    <row r="118" spans="1:14" x14ac:dyDescent="0.45">
      <c r="A118" s="165" t="s">
        <v>1447</v>
      </c>
      <c r="B118" s="166" t="s">
        <v>1448</v>
      </c>
      <c r="C118" s="166" t="s">
        <v>1447</v>
      </c>
      <c r="D118" s="167">
        <v>26</v>
      </c>
      <c r="E118" s="167">
        <v>55</v>
      </c>
      <c r="F118" s="167">
        <v>29</v>
      </c>
      <c r="G118" s="166" t="s">
        <v>1449</v>
      </c>
      <c r="H118" s="167" t="s">
        <v>945</v>
      </c>
      <c r="I118" s="168">
        <v>1</v>
      </c>
      <c r="J118" s="169" t="s">
        <v>11</v>
      </c>
      <c r="K118" s="166" t="s">
        <v>1450</v>
      </c>
      <c r="L118" s="166" t="s">
        <v>1451</v>
      </c>
      <c r="M118" s="167">
        <v>1</v>
      </c>
      <c r="N118" s="202" t="s">
        <v>1452</v>
      </c>
    </row>
    <row r="119" spans="1:14" x14ac:dyDescent="0.45">
      <c r="A119" s="165"/>
      <c r="B119" s="166"/>
      <c r="C119" s="166"/>
      <c r="D119" s="167"/>
      <c r="E119" s="167"/>
      <c r="F119" s="167"/>
      <c r="G119" s="166"/>
      <c r="H119" s="167"/>
      <c r="I119" s="167"/>
      <c r="J119" s="169"/>
      <c r="K119" s="166"/>
      <c r="L119" s="166"/>
      <c r="M119" s="167"/>
      <c r="N119" s="202"/>
    </row>
    <row r="120" spans="1:14" x14ac:dyDescent="0.45">
      <c r="A120" s="165" t="s">
        <v>1453</v>
      </c>
      <c r="B120" s="166" t="s">
        <v>1454</v>
      </c>
      <c r="C120" s="166" t="s">
        <v>1453</v>
      </c>
      <c r="D120" s="167">
        <v>28</v>
      </c>
      <c r="E120" s="167">
        <v>63</v>
      </c>
      <c r="F120" s="167">
        <v>35</v>
      </c>
      <c r="G120" s="166" t="s">
        <v>1455</v>
      </c>
      <c r="H120" s="167" t="s">
        <v>931</v>
      </c>
      <c r="I120" s="168">
        <v>1</v>
      </c>
      <c r="J120" s="169">
        <v>6.7000000000000004E-2</v>
      </c>
      <c r="K120" s="166" t="s">
        <v>11</v>
      </c>
      <c r="L120" s="166" t="s">
        <v>1456</v>
      </c>
      <c r="M120" s="167">
        <v>1</v>
      </c>
      <c r="N120" s="202" t="s">
        <v>1457</v>
      </c>
    </row>
    <row r="121" spans="1:14" x14ac:dyDescent="0.45">
      <c r="A121" s="165"/>
      <c r="B121" s="166"/>
      <c r="C121" s="166"/>
      <c r="D121" s="167"/>
      <c r="E121" s="167"/>
      <c r="F121" s="167"/>
      <c r="G121" s="166"/>
      <c r="H121" s="167"/>
      <c r="I121" s="167"/>
      <c r="J121" s="169"/>
      <c r="K121" s="166"/>
      <c r="L121" s="166"/>
      <c r="M121" s="167"/>
      <c r="N121" s="202"/>
    </row>
    <row r="122" spans="1:14" x14ac:dyDescent="0.45">
      <c r="A122" s="165" t="s">
        <v>1458</v>
      </c>
      <c r="B122" s="166" t="s">
        <v>1459</v>
      </c>
      <c r="C122" s="166" t="s">
        <v>1458</v>
      </c>
      <c r="D122" s="167">
        <v>25</v>
      </c>
      <c r="E122" s="167">
        <v>54</v>
      </c>
      <c r="F122" s="167">
        <v>29</v>
      </c>
      <c r="G122" s="166" t="s">
        <v>1460</v>
      </c>
      <c r="H122" s="167" t="s">
        <v>945</v>
      </c>
      <c r="I122" s="168">
        <v>1</v>
      </c>
      <c r="J122" s="169" t="s">
        <v>11</v>
      </c>
      <c r="K122" s="166">
        <v>0.83499999999999996</v>
      </c>
      <c r="L122" s="166" t="s">
        <v>1461</v>
      </c>
      <c r="M122" s="167">
        <v>1</v>
      </c>
      <c r="N122" s="202" t="s">
        <v>1462</v>
      </c>
    </row>
    <row r="123" spans="1:14" x14ac:dyDescent="0.45">
      <c r="A123" s="165"/>
      <c r="B123" s="166"/>
      <c r="C123" s="166"/>
      <c r="D123" s="167"/>
      <c r="E123" s="167"/>
      <c r="F123" s="167"/>
      <c r="G123" s="166"/>
      <c r="H123" s="167"/>
      <c r="I123" s="167"/>
      <c r="J123" s="169"/>
      <c r="K123" s="166"/>
      <c r="L123" s="166"/>
      <c r="M123" s="167"/>
      <c r="N123" s="202"/>
    </row>
    <row r="124" spans="1:14" x14ac:dyDescent="0.45">
      <c r="A124" s="165" t="s">
        <v>1463</v>
      </c>
      <c r="B124" s="166" t="s">
        <v>1464</v>
      </c>
      <c r="C124" s="166" t="s">
        <v>1463</v>
      </c>
      <c r="D124" s="167">
        <v>30</v>
      </c>
      <c r="E124" s="167">
        <v>65</v>
      </c>
      <c r="F124" s="167">
        <v>35</v>
      </c>
      <c r="G124" s="166" t="s">
        <v>1465</v>
      </c>
      <c r="H124" s="167" t="s">
        <v>1466</v>
      </c>
      <c r="I124" s="167" t="s">
        <v>1467</v>
      </c>
      <c r="J124" s="169" t="s">
        <v>1468</v>
      </c>
      <c r="K124" s="166">
        <v>1.1160000000000001</v>
      </c>
      <c r="L124" s="166" t="s">
        <v>1469</v>
      </c>
      <c r="M124" s="167">
        <v>1</v>
      </c>
      <c r="N124" s="202" t="s">
        <v>1470</v>
      </c>
    </row>
    <row r="125" spans="1:14" x14ac:dyDescent="0.45">
      <c r="A125" s="165"/>
      <c r="B125" s="166"/>
      <c r="C125" s="166"/>
      <c r="D125" s="167"/>
      <c r="E125" s="167"/>
      <c r="F125" s="167"/>
      <c r="G125" s="166"/>
      <c r="H125" s="167"/>
      <c r="I125" s="167"/>
      <c r="J125" s="169"/>
      <c r="K125" s="166"/>
      <c r="L125" s="166"/>
      <c r="M125" s="167"/>
      <c r="N125" s="202"/>
    </row>
    <row r="126" spans="1:14" x14ac:dyDescent="0.45">
      <c r="A126" s="165" t="s">
        <v>1471</v>
      </c>
      <c r="B126" s="166" t="s">
        <v>1472</v>
      </c>
      <c r="C126" s="166" t="s">
        <v>1471</v>
      </c>
      <c r="D126" s="167">
        <v>53</v>
      </c>
      <c r="E126" s="167">
        <v>129</v>
      </c>
      <c r="F126" s="167">
        <v>76</v>
      </c>
      <c r="G126" s="166" t="s">
        <v>1473</v>
      </c>
      <c r="H126" s="167" t="s">
        <v>931</v>
      </c>
      <c r="I126" s="168">
        <v>1</v>
      </c>
      <c r="J126" s="169">
        <v>0.154</v>
      </c>
      <c r="K126" s="166">
        <v>0.04</v>
      </c>
      <c r="L126" s="166" t="s">
        <v>1474</v>
      </c>
      <c r="M126" s="167">
        <v>1</v>
      </c>
      <c r="N126" s="202" t="s">
        <v>1475</v>
      </c>
    </row>
    <row r="127" spans="1:14" x14ac:dyDescent="0.45">
      <c r="A127" s="165"/>
      <c r="B127" s="166"/>
      <c r="C127" s="166"/>
      <c r="D127" s="167"/>
      <c r="E127" s="167"/>
      <c r="F127" s="167"/>
      <c r="G127" s="166"/>
      <c r="H127" s="167"/>
      <c r="I127" s="167"/>
      <c r="J127" s="169"/>
      <c r="K127" s="166"/>
      <c r="L127" s="166"/>
      <c r="M127" s="167"/>
      <c r="N127" s="202"/>
    </row>
    <row r="128" spans="1:14" x14ac:dyDescent="0.45">
      <c r="A128" s="183" t="s">
        <v>1476</v>
      </c>
      <c r="B128" s="184" t="s">
        <v>1351</v>
      </c>
      <c r="C128" s="184" t="s">
        <v>1349</v>
      </c>
      <c r="D128" s="185">
        <v>43</v>
      </c>
      <c r="E128" s="185">
        <v>99</v>
      </c>
      <c r="F128" s="185">
        <v>56</v>
      </c>
      <c r="G128" s="184" t="s">
        <v>1352</v>
      </c>
      <c r="H128" s="185" t="s">
        <v>931</v>
      </c>
      <c r="I128" s="186">
        <v>1</v>
      </c>
      <c r="J128" s="187">
        <v>0.29399999999999998</v>
      </c>
      <c r="K128" s="184" t="s">
        <v>11</v>
      </c>
      <c r="L128" s="184" t="s">
        <v>1353</v>
      </c>
      <c r="M128" s="185">
        <v>1</v>
      </c>
      <c r="N128" s="209" t="s">
        <v>1477</v>
      </c>
    </row>
    <row r="130" spans="1:8" x14ac:dyDescent="0.45">
      <c r="A130" s="156" t="s">
        <v>1478</v>
      </c>
      <c r="B130" s="157"/>
      <c r="C130" s="157"/>
      <c r="D130" s="159"/>
      <c r="E130" s="159"/>
      <c r="F130" s="159"/>
      <c r="G130" s="157"/>
      <c r="H130" s="159"/>
    </row>
    <row r="131" spans="1:8" x14ac:dyDescent="0.45">
      <c r="A131" t="s">
        <v>1479</v>
      </c>
    </row>
    <row r="132" spans="1:8" x14ac:dyDescent="0.45">
      <c r="A132" t="s">
        <v>1480</v>
      </c>
    </row>
    <row r="133" spans="1:8" x14ac:dyDescent="0.45">
      <c r="A133" t="s">
        <v>1481</v>
      </c>
    </row>
    <row r="134" spans="1:8" x14ac:dyDescent="0.45">
      <c r="A134" t="s">
        <v>1482</v>
      </c>
    </row>
    <row r="135" spans="1:8" x14ac:dyDescent="0.45">
      <c r="A135" t="s">
        <v>1483</v>
      </c>
    </row>
    <row r="136" spans="1:8" x14ac:dyDescent="0.45">
      <c r="A136" t="s">
        <v>1484</v>
      </c>
    </row>
    <row r="137" spans="1:8" x14ac:dyDescent="0.45">
      <c r="A137" t="s">
        <v>1485</v>
      </c>
    </row>
    <row r="138" spans="1:8" x14ac:dyDescent="0.45">
      <c r="A138" t="s">
        <v>1486</v>
      </c>
    </row>
    <row r="139" spans="1:8" x14ac:dyDescent="0.45">
      <c r="A139" t="s">
        <v>1487</v>
      </c>
    </row>
    <row r="141" spans="1:8" x14ac:dyDescent="0.45">
      <c r="A141" s="52" t="s">
        <v>1488</v>
      </c>
    </row>
    <row r="142" spans="1:8" x14ac:dyDescent="0.45">
      <c r="A142" t="s">
        <v>1489</v>
      </c>
    </row>
    <row r="143" spans="1:8" x14ac:dyDescent="0.45">
      <c r="A143" t="s">
        <v>1490</v>
      </c>
    </row>
    <row r="144" spans="1:8" x14ac:dyDescent="0.45">
      <c r="A144" t="s">
        <v>1491</v>
      </c>
    </row>
    <row r="145" spans="1:1" x14ac:dyDescent="0.45">
      <c r="A145" t="s">
        <v>1492</v>
      </c>
    </row>
    <row r="147" spans="1:1" x14ac:dyDescent="0.45">
      <c r="A147" s="52" t="s">
        <v>1493</v>
      </c>
    </row>
    <row r="148" spans="1:1" x14ac:dyDescent="0.45">
      <c r="A148" s="152" t="s">
        <v>1494</v>
      </c>
    </row>
    <row r="149" spans="1:1" x14ac:dyDescent="0.45">
      <c r="A149" s="155" t="s">
        <v>1495</v>
      </c>
    </row>
    <row r="150" spans="1:1" x14ac:dyDescent="0.45">
      <c r="A150" s="210" t="s">
        <v>1496</v>
      </c>
    </row>
    <row r="151" spans="1:1" x14ac:dyDescent="0.45">
      <c r="A151" s="211" t="s">
        <v>1497</v>
      </c>
    </row>
    <row r="152" spans="1:1" x14ac:dyDescent="0.45">
      <c r="A152" s="155" t="s">
        <v>1498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33C00"/>
  </sheetPr>
  <dimension ref="B2:I41"/>
  <sheetViews>
    <sheetView showGridLines="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3" customWidth="1"/>
    <col min="3" max="3" width="42" customWidth="1"/>
    <col min="4" max="4" width="18" customWidth="1"/>
    <col min="5" max="5" width="6" customWidth="1"/>
    <col min="6" max="6" width="12" customWidth="1"/>
    <col min="7" max="7" width="52" customWidth="1"/>
    <col min="8" max="8" width="44" customWidth="1"/>
    <col min="9" max="9" width="10" customWidth="1"/>
  </cols>
  <sheetData>
    <row r="2" spans="2:9" ht="32" customHeight="1" x14ac:dyDescent="0.45">
      <c r="B2" s="50" t="s">
        <v>539</v>
      </c>
      <c r="C2" s="44"/>
      <c r="D2" s="44"/>
      <c r="E2" s="44"/>
      <c r="F2" s="44"/>
      <c r="G2" s="44"/>
      <c r="H2" s="44"/>
      <c r="I2" s="44"/>
    </row>
    <row r="3" spans="2:9" x14ac:dyDescent="0.45">
      <c r="B3" s="49" t="s">
        <v>540</v>
      </c>
      <c r="C3" s="44"/>
      <c r="D3" s="44"/>
      <c r="E3" s="44"/>
      <c r="F3" s="44"/>
      <c r="G3" s="44"/>
      <c r="H3" s="44"/>
      <c r="I3" s="44"/>
    </row>
    <row r="5" spans="2:9" ht="24" customHeight="1" x14ac:dyDescent="0.45">
      <c r="B5" s="51" t="s">
        <v>541</v>
      </c>
      <c r="C5" s="44"/>
      <c r="D5" s="44"/>
      <c r="E5" s="44"/>
      <c r="F5" s="44"/>
      <c r="G5" s="44"/>
      <c r="H5" s="44"/>
      <c r="I5" s="44"/>
    </row>
    <row r="6" spans="2:9" ht="24" customHeight="1" x14ac:dyDescent="0.45">
      <c r="B6" s="2" t="s">
        <v>542</v>
      </c>
      <c r="C6" s="2" t="s">
        <v>359</v>
      </c>
      <c r="D6" s="2" t="s">
        <v>543</v>
      </c>
      <c r="E6" s="2" t="s">
        <v>544</v>
      </c>
      <c r="F6" s="2" t="s">
        <v>432</v>
      </c>
    </row>
    <row r="7" spans="2:9" ht="40.049999999999997" customHeight="1" x14ac:dyDescent="0.45">
      <c r="B7" s="30" t="s">
        <v>545</v>
      </c>
      <c r="C7" s="31" t="s">
        <v>546</v>
      </c>
      <c r="D7" s="21" t="s">
        <v>547</v>
      </c>
      <c r="E7" s="21" t="s">
        <v>548</v>
      </c>
      <c r="F7" s="21" t="s">
        <v>549</v>
      </c>
    </row>
    <row r="8" spans="2:9" ht="40.049999999999997" customHeight="1" x14ac:dyDescent="0.45">
      <c r="B8" s="30" t="s">
        <v>550</v>
      </c>
      <c r="C8" s="31" t="s">
        <v>551</v>
      </c>
      <c r="D8" s="21" t="s">
        <v>552</v>
      </c>
      <c r="E8" s="21" t="s">
        <v>553</v>
      </c>
      <c r="F8" s="21" t="s">
        <v>554</v>
      </c>
    </row>
    <row r="9" spans="2:9" ht="40.049999999999997" customHeight="1" x14ac:dyDescent="0.45">
      <c r="B9" s="30" t="s">
        <v>555</v>
      </c>
      <c r="C9" s="31" t="s">
        <v>556</v>
      </c>
      <c r="D9" s="21" t="s">
        <v>557</v>
      </c>
      <c r="E9" s="21" t="s">
        <v>558</v>
      </c>
      <c r="F9" s="21" t="s">
        <v>559</v>
      </c>
    </row>
    <row r="10" spans="2:9" ht="40.049999999999997" customHeight="1" x14ac:dyDescent="0.45">
      <c r="B10" s="30" t="s">
        <v>560</v>
      </c>
      <c r="C10" s="31" t="s">
        <v>561</v>
      </c>
      <c r="D10" s="21" t="s">
        <v>562</v>
      </c>
      <c r="E10" s="21" t="s">
        <v>563</v>
      </c>
      <c r="F10" s="21" t="s">
        <v>564</v>
      </c>
    </row>
    <row r="11" spans="2:9" ht="40.049999999999997" customHeight="1" x14ac:dyDescent="0.45">
      <c r="B11" s="30" t="s">
        <v>565</v>
      </c>
      <c r="C11" s="31" t="s">
        <v>566</v>
      </c>
      <c r="D11" s="21" t="s">
        <v>567</v>
      </c>
      <c r="E11" s="21" t="s">
        <v>568</v>
      </c>
      <c r="F11" s="21" t="s">
        <v>569</v>
      </c>
    </row>
    <row r="12" spans="2:9" ht="40.049999999999997" customHeight="1" x14ac:dyDescent="0.45">
      <c r="B12" s="30" t="s">
        <v>570</v>
      </c>
      <c r="C12" s="31" t="s">
        <v>571</v>
      </c>
      <c r="D12" s="21" t="s">
        <v>572</v>
      </c>
      <c r="E12" s="21" t="s">
        <v>573</v>
      </c>
      <c r="F12" s="21" t="s">
        <v>574</v>
      </c>
    </row>
    <row r="13" spans="2:9" ht="40.049999999999997" customHeight="1" x14ac:dyDescent="0.45">
      <c r="B13" s="30" t="s">
        <v>575</v>
      </c>
      <c r="C13" s="31" t="s">
        <v>576</v>
      </c>
      <c r="D13" s="21" t="s">
        <v>577</v>
      </c>
      <c r="E13" s="21" t="s">
        <v>578</v>
      </c>
      <c r="F13" s="21" t="s">
        <v>579</v>
      </c>
    </row>
    <row r="14" spans="2:9" ht="40.049999999999997" customHeight="1" x14ac:dyDescent="0.45">
      <c r="B14" s="30" t="s">
        <v>580</v>
      </c>
      <c r="C14" s="31" t="s">
        <v>581</v>
      </c>
      <c r="D14" s="21" t="s">
        <v>582</v>
      </c>
      <c r="E14" s="21" t="s">
        <v>583</v>
      </c>
      <c r="F14" s="21" t="s">
        <v>584</v>
      </c>
    </row>
    <row r="15" spans="2:9" ht="40.049999999999997" customHeight="1" x14ac:dyDescent="0.45">
      <c r="B15" s="30" t="s">
        <v>585</v>
      </c>
      <c r="C15" s="31" t="s">
        <v>586</v>
      </c>
      <c r="D15" s="21" t="s">
        <v>587</v>
      </c>
      <c r="E15" s="21" t="s">
        <v>588</v>
      </c>
      <c r="F15" s="21" t="s">
        <v>589</v>
      </c>
    </row>
    <row r="16" spans="2:9" ht="40.049999999999997" customHeight="1" x14ac:dyDescent="0.45">
      <c r="B16" s="30" t="s">
        <v>590</v>
      </c>
      <c r="C16" s="31" t="s">
        <v>591</v>
      </c>
      <c r="D16" s="21" t="s">
        <v>592</v>
      </c>
      <c r="E16" s="21" t="s">
        <v>593</v>
      </c>
      <c r="F16" s="21" t="s">
        <v>594</v>
      </c>
    </row>
    <row r="18" spans="2:9" ht="8" customHeight="1" x14ac:dyDescent="0.45"/>
    <row r="19" spans="2:9" ht="24" customHeight="1" x14ac:dyDescent="0.45">
      <c r="B19" s="51" t="s">
        <v>595</v>
      </c>
      <c r="C19" s="44"/>
      <c r="D19" s="44"/>
      <c r="E19" s="44"/>
      <c r="F19" s="44"/>
      <c r="G19" s="44"/>
      <c r="H19" s="44"/>
      <c r="I19" s="44"/>
    </row>
    <row r="20" spans="2:9" ht="24" customHeight="1" x14ac:dyDescent="0.45">
      <c r="B20" s="2" t="s">
        <v>596</v>
      </c>
      <c r="C20" s="2" t="s">
        <v>597</v>
      </c>
      <c r="D20" s="2" t="s">
        <v>48</v>
      </c>
      <c r="E20" s="2" t="s">
        <v>598</v>
      </c>
      <c r="F20" s="2" t="s">
        <v>599</v>
      </c>
      <c r="G20" s="2" t="s">
        <v>600</v>
      </c>
      <c r="H20" s="2" t="s">
        <v>601</v>
      </c>
    </row>
    <row r="21" spans="2:9" ht="38" customHeight="1" x14ac:dyDescent="0.45">
      <c r="B21" s="32" t="s">
        <v>602</v>
      </c>
      <c r="C21" s="15" t="s">
        <v>603</v>
      </c>
      <c r="D21" s="15" t="s">
        <v>604</v>
      </c>
      <c r="E21" s="15" t="s">
        <v>605</v>
      </c>
      <c r="F21" s="15" t="s">
        <v>606</v>
      </c>
      <c r="G21" s="15" t="s">
        <v>607</v>
      </c>
      <c r="H21" s="17" t="s">
        <v>287</v>
      </c>
    </row>
    <row r="22" spans="2:9" ht="38" customHeight="1" x14ac:dyDescent="0.45">
      <c r="B22" s="33" t="s">
        <v>608</v>
      </c>
      <c r="C22" s="5" t="s">
        <v>609</v>
      </c>
      <c r="D22" s="5" t="s">
        <v>610</v>
      </c>
      <c r="E22" s="5" t="s">
        <v>611</v>
      </c>
      <c r="F22" s="5" t="s">
        <v>612</v>
      </c>
      <c r="G22" s="5" t="s">
        <v>613</v>
      </c>
      <c r="H22" s="4" t="s">
        <v>287</v>
      </c>
    </row>
    <row r="23" spans="2:9" ht="38" customHeight="1" x14ac:dyDescent="0.45">
      <c r="B23" s="32" t="s">
        <v>614</v>
      </c>
      <c r="C23" s="15" t="s">
        <v>472</v>
      </c>
      <c r="D23" s="15" t="s">
        <v>68</v>
      </c>
      <c r="E23" s="15" t="s">
        <v>615</v>
      </c>
      <c r="F23" s="15" t="s">
        <v>616</v>
      </c>
      <c r="G23" s="15" t="s">
        <v>617</v>
      </c>
      <c r="H23" s="17" t="s">
        <v>287</v>
      </c>
    </row>
    <row r="24" spans="2:9" ht="38" customHeight="1" x14ac:dyDescent="0.45">
      <c r="B24" s="32" t="s">
        <v>618</v>
      </c>
      <c r="C24" s="15" t="s">
        <v>472</v>
      </c>
      <c r="D24" s="15" t="s">
        <v>132</v>
      </c>
      <c r="E24" s="15" t="s">
        <v>615</v>
      </c>
      <c r="F24" s="15" t="s">
        <v>619</v>
      </c>
      <c r="G24" s="15" t="s">
        <v>620</v>
      </c>
      <c r="H24" s="17" t="s">
        <v>287</v>
      </c>
    </row>
    <row r="25" spans="2:9" ht="38" customHeight="1" x14ac:dyDescent="0.45">
      <c r="B25" s="32" t="s">
        <v>621</v>
      </c>
      <c r="C25" s="15" t="s">
        <v>622</v>
      </c>
      <c r="D25" s="15" t="s">
        <v>623</v>
      </c>
      <c r="E25" s="15" t="s">
        <v>624</v>
      </c>
      <c r="F25" s="15" t="s">
        <v>625</v>
      </c>
      <c r="G25" s="15" t="s">
        <v>626</v>
      </c>
      <c r="H25" s="17" t="s">
        <v>287</v>
      </c>
    </row>
    <row r="26" spans="2:9" ht="38" customHeight="1" x14ac:dyDescent="0.45">
      <c r="B26" s="34" t="s">
        <v>627</v>
      </c>
      <c r="C26" s="24" t="s">
        <v>628</v>
      </c>
      <c r="D26" s="24" t="s">
        <v>229</v>
      </c>
      <c r="E26" s="24" t="s">
        <v>629</v>
      </c>
      <c r="F26" s="24" t="s">
        <v>630</v>
      </c>
      <c r="G26" s="24" t="s">
        <v>631</v>
      </c>
      <c r="H26" s="35" t="s">
        <v>287</v>
      </c>
    </row>
    <row r="27" spans="2:9" ht="38" customHeight="1" x14ac:dyDescent="0.45">
      <c r="B27" s="36" t="s">
        <v>632</v>
      </c>
      <c r="C27" s="24" t="s">
        <v>633</v>
      </c>
      <c r="D27" s="24" t="s">
        <v>171</v>
      </c>
      <c r="E27" s="24" t="s">
        <v>634</v>
      </c>
      <c r="F27" s="24" t="s">
        <v>635</v>
      </c>
      <c r="G27" s="24" t="s">
        <v>636</v>
      </c>
      <c r="H27" s="35" t="s">
        <v>287</v>
      </c>
    </row>
    <row r="28" spans="2:9" ht="38" customHeight="1" x14ac:dyDescent="0.45">
      <c r="B28" s="33" t="s">
        <v>637</v>
      </c>
      <c r="C28" s="5" t="s">
        <v>638</v>
      </c>
      <c r="D28" s="5" t="s">
        <v>272</v>
      </c>
      <c r="E28" s="5" t="s">
        <v>639</v>
      </c>
      <c r="F28" s="5" t="s">
        <v>640</v>
      </c>
      <c r="G28" s="5" t="s">
        <v>641</v>
      </c>
      <c r="H28" s="4" t="s">
        <v>287</v>
      </c>
    </row>
    <row r="29" spans="2:9" ht="38" customHeight="1" x14ac:dyDescent="0.45">
      <c r="B29" s="33" t="s">
        <v>642</v>
      </c>
      <c r="C29" s="5" t="s">
        <v>643</v>
      </c>
      <c r="D29" s="5" t="s">
        <v>272</v>
      </c>
      <c r="E29" s="5" t="s">
        <v>644</v>
      </c>
      <c r="F29" s="5" t="s">
        <v>645</v>
      </c>
      <c r="G29" s="5" t="s">
        <v>646</v>
      </c>
      <c r="H29" s="4" t="s">
        <v>287</v>
      </c>
    </row>
    <row r="30" spans="2:9" ht="38" customHeight="1" x14ac:dyDescent="0.45">
      <c r="B30" s="33" t="s">
        <v>647</v>
      </c>
      <c r="C30" s="5" t="s">
        <v>648</v>
      </c>
      <c r="D30" s="5" t="s">
        <v>143</v>
      </c>
      <c r="E30" s="5" t="s">
        <v>611</v>
      </c>
      <c r="F30" s="5" t="s">
        <v>649</v>
      </c>
      <c r="G30" s="5" t="s">
        <v>650</v>
      </c>
      <c r="H30" s="4" t="s">
        <v>287</v>
      </c>
    </row>
    <row r="31" spans="2:9" ht="38" customHeight="1" x14ac:dyDescent="0.45">
      <c r="B31" s="33" t="s">
        <v>651</v>
      </c>
      <c r="C31" s="5" t="s">
        <v>652</v>
      </c>
      <c r="D31" s="5" t="s">
        <v>235</v>
      </c>
      <c r="E31" s="5" t="s">
        <v>653</v>
      </c>
      <c r="F31" s="5" t="s">
        <v>654</v>
      </c>
      <c r="G31" s="5" t="s">
        <v>655</v>
      </c>
      <c r="H31" s="4" t="s">
        <v>287</v>
      </c>
    </row>
    <row r="32" spans="2:9" ht="38" customHeight="1" x14ac:dyDescent="0.45">
      <c r="B32" s="36" t="s">
        <v>656</v>
      </c>
      <c r="C32" s="24" t="s">
        <v>638</v>
      </c>
      <c r="D32" s="24" t="s">
        <v>117</v>
      </c>
      <c r="E32" s="24" t="s">
        <v>657</v>
      </c>
      <c r="F32" s="24" t="s">
        <v>658</v>
      </c>
      <c r="G32" s="24" t="s">
        <v>659</v>
      </c>
      <c r="H32" s="35" t="s">
        <v>287</v>
      </c>
    </row>
    <row r="33" spans="2:8" ht="38" customHeight="1" x14ac:dyDescent="0.45">
      <c r="B33" s="36" t="s">
        <v>660</v>
      </c>
      <c r="C33" s="24" t="s">
        <v>661</v>
      </c>
      <c r="D33" s="24" t="s">
        <v>604</v>
      </c>
      <c r="E33" s="24" t="s">
        <v>662</v>
      </c>
      <c r="F33" s="24" t="s">
        <v>663</v>
      </c>
      <c r="G33" s="24" t="s">
        <v>664</v>
      </c>
      <c r="H33" s="35" t="s">
        <v>287</v>
      </c>
    </row>
    <row r="34" spans="2:8" ht="38" customHeight="1" x14ac:dyDescent="0.45">
      <c r="B34" s="32" t="s">
        <v>665</v>
      </c>
      <c r="C34" s="15" t="s">
        <v>472</v>
      </c>
      <c r="D34" s="15" t="s">
        <v>91</v>
      </c>
      <c r="E34" s="15" t="s">
        <v>666</v>
      </c>
      <c r="F34" s="15" t="s">
        <v>667</v>
      </c>
      <c r="G34" s="15" t="s">
        <v>668</v>
      </c>
      <c r="H34" s="17" t="s">
        <v>287</v>
      </c>
    </row>
    <row r="35" spans="2:8" ht="38" customHeight="1" x14ac:dyDescent="0.45">
      <c r="B35" s="33" t="s">
        <v>669</v>
      </c>
      <c r="C35" s="5" t="s">
        <v>670</v>
      </c>
      <c r="D35" s="5" t="s">
        <v>671</v>
      </c>
      <c r="E35" s="5" t="s">
        <v>611</v>
      </c>
      <c r="F35" s="5" t="s">
        <v>672</v>
      </c>
      <c r="G35" s="5" t="s">
        <v>673</v>
      </c>
      <c r="H35" s="4" t="s">
        <v>287</v>
      </c>
    </row>
    <row r="36" spans="2:8" ht="38" customHeight="1" x14ac:dyDescent="0.45">
      <c r="B36" s="36" t="s">
        <v>674</v>
      </c>
      <c r="C36" s="24" t="s">
        <v>638</v>
      </c>
      <c r="D36" s="24" t="s">
        <v>671</v>
      </c>
      <c r="E36" s="24" t="s">
        <v>241</v>
      </c>
      <c r="F36" s="24" t="s">
        <v>675</v>
      </c>
      <c r="G36" s="24" t="s">
        <v>676</v>
      </c>
      <c r="H36" s="35" t="s">
        <v>287</v>
      </c>
    </row>
    <row r="37" spans="2:8" ht="38" customHeight="1" x14ac:dyDescent="0.45">
      <c r="B37" s="33" t="s">
        <v>677</v>
      </c>
      <c r="C37" s="5" t="s">
        <v>670</v>
      </c>
      <c r="D37" s="5" t="s">
        <v>678</v>
      </c>
      <c r="E37" s="5" t="s">
        <v>679</v>
      </c>
      <c r="F37" s="5" t="s">
        <v>680</v>
      </c>
      <c r="G37" s="5" t="s">
        <v>681</v>
      </c>
      <c r="H37" s="4" t="s">
        <v>287</v>
      </c>
    </row>
    <row r="38" spans="2:8" ht="38" customHeight="1" x14ac:dyDescent="0.45">
      <c r="B38" s="33" t="s">
        <v>682</v>
      </c>
      <c r="C38" s="5" t="s">
        <v>518</v>
      </c>
      <c r="D38" s="5" t="s">
        <v>314</v>
      </c>
      <c r="E38" s="5" t="s">
        <v>683</v>
      </c>
      <c r="F38" s="5" t="s">
        <v>684</v>
      </c>
      <c r="G38" s="5" t="s">
        <v>685</v>
      </c>
      <c r="H38" s="4" t="s">
        <v>287</v>
      </c>
    </row>
    <row r="39" spans="2:8" ht="38" customHeight="1" x14ac:dyDescent="0.45">
      <c r="B39" s="36" t="s">
        <v>686</v>
      </c>
      <c r="C39" s="24" t="s">
        <v>687</v>
      </c>
      <c r="D39" s="24" t="s">
        <v>295</v>
      </c>
      <c r="E39" s="24" t="s">
        <v>688</v>
      </c>
      <c r="F39" s="24" t="s">
        <v>689</v>
      </c>
      <c r="G39" s="24" t="s">
        <v>690</v>
      </c>
      <c r="H39" s="35" t="s">
        <v>287</v>
      </c>
    </row>
    <row r="40" spans="2:8" ht="38" customHeight="1" x14ac:dyDescent="0.45">
      <c r="B40" s="32" t="s">
        <v>691</v>
      </c>
      <c r="C40" s="15" t="s">
        <v>692</v>
      </c>
      <c r="D40" s="15" t="s">
        <v>143</v>
      </c>
      <c r="E40" s="15" t="s">
        <v>666</v>
      </c>
      <c r="F40" s="15" t="s">
        <v>693</v>
      </c>
      <c r="G40" s="15" t="s">
        <v>694</v>
      </c>
      <c r="H40" s="17" t="s">
        <v>287</v>
      </c>
    </row>
    <row r="41" spans="2:8" ht="38" customHeight="1" x14ac:dyDescent="0.45">
      <c r="B41" s="36" t="s">
        <v>695</v>
      </c>
      <c r="C41" s="24" t="s">
        <v>284</v>
      </c>
      <c r="D41" s="24" t="s">
        <v>111</v>
      </c>
      <c r="E41" s="24" t="s">
        <v>696</v>
      </c>
      <c r="F41" s="24" t="s">
        <v>697</v>
      </c>
      <c r="G41" s="24" t="s">
        <v>698</v>
      </c>
      <c r="H41" s="35" t="s">
        <v>287</v>
      </c>
    </row>
  </sheetData>
  <mergeCells count="4">
    <mergeCell ref="B3:I3"/>
    <mergeCell ref="B5:I5"/>
    <mergeCell ref="B2:I2"/>
    <mergeCell ref="B19:I19"/>
  </mergeCells>
  <hyperlinks>
    <hyperlink ref="H21" r:id="rId1" xr:uid="{00000000-0004-0000-0600-000000000000}"/>
    <hyperlink ref="H22" r:id="rId2" xr:uid="{00000000-0004-0000-0600-000001000000}"/>
    <hyperlink ref="H23" r:id="rId3" xr:uid="{00000000-0004-0000-0600-000002000000}"/>
    <hyperlink ref="H24" r:id="rId4" xr:uid="{00000000-0004-0000-0600-000003000000}"/>
    <hyperlink ref="H25" r:id="rId5" xr:uid="{00000000-0004-0000-0600-000004000000}"/>
    <hyperlink ref="H26" r:id="rId6" xr:uid="{00000000-0004-0000-0600-000005000000}"/>
    <hyperlink ref="H27" r:id="rId7" xr:uid="{00000000-0004-0000-0600-000006000000}"/>
    <hyperlink ref="H28" r:id="rId8" xr:uid="{00000000-0004-0000-0600-000007000000}"/>
    <hyperlink ref="H29" r:id="rId9" xr:uid="{00000000-0004-0000-0600-000008000000}"/>
    <hyperlink ref="H30" r:id="rId10" xr:uid="{00000000-0004-0000-0600-000009000000}"/>
    <hyperlink ref="H31" r:id="rId11" xr:uid="{00000000-0004-0000-0600-00000A000000}"/>
    <hyperlink ref="H32" r:id="rId12" xr:uid="{00000000-0004-0000-0600-00000B000000}"/>
    <hyperlink ref="H33" r:id="rId13" xr:uid="{00000000-0004-0000-0600-00000C000000}"/>
    <hyperlink ref="H34" r:id="rId14" xr:uid="{00000000-0004-0000-0600-00000D000000}"/>
    <hyperlink ref="H35" r:id="rId15" xr:uid="{00000000-0004-0000-0600-00000E000000}"/>
    <hyperlink ref="H36" r:id="rId16" xr:uid="{00000000-0004-0000-0600-00000F000000}"/>
    <hyperlink ref="H37" r:id="rId17" xr:uid="{00000000-0004-0000-0600-000010000000}"/>
    <hyperlink ref="H38" r:id="rId18" xr:uid="{00000000-0004-0000-0600-000011000000}"/>
    <hyperlink ref="H39" r:id="rId19" xr:uid="{00000000-0004-0000-0600-000012000000}"/>
    <hyperlink ref="H40" r:id="rId20" xr:uid="{00000000-0004-0000-0600-000013000000}"/>
    <hyperlink ref="H41" r:id="rId21" xr:uid="{00000000-0004-0000-0600-000014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75623"/>
  </sheetPr>
  <dimension ref="B2:I25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3" customWidth="1"/>
    <col min="3" max="3" width="25" customWidth="1"/>
    <col min="4" max="4" width="18" customWidth="1"/>
    <col min="5" max="5" width="14" customWidth="1"/>
    <col min="6" max="6" width="18" customWidth="1"/>
    <col min="7" max="7" width="14" customWidth="1"/>
    <col min="8" max="8" width="48" customWidth="1"/>
    <col min="9" max="9" width="10" customWidth="1"/>
  </cols>
  <sheetData>
    <row r="2" spans="2:9" ht="32" customHeight="1" x14ac:dyDescent="0.45">
      <c r="B2" s="50" t="s">
        <v>699</v>
      </c>
      <c r="C2" s="44"/>
      <c r="D2" s="44"/>
      <c r="E2" s="44"/>
      <c r="F2" s="44"/>
      <c r="G2" s="44"/>
      <c r="H2" s="44"/>
      <c r="I2" s="44"/>
    </row>
    <row r="3" spans="2:9" x14ac:dyDescent="0.45">
      <c r="B3" s="49" t="s">
        <v>700</v>
      </c>
      <c r="C3" s="44"/>
      <c r="D3" s="44"/>
      <c r="E3" s="44"/>
      <c r="F3" s="44"/>
      <c r="G3" s="44"/>
      <c r="H3" s="44"/>
      <c r="I3" s="44"/>
    </row>
    <row r="5" spans="2:9" ht="28.05" customHeight="1" x14ac:dyDescent="0.45">
      <c r="B5" s="2" t="s">
        <v>701</v>
      </c>
      <c r="C5" s="2" t="s">
        <v>702</v>
      </c>
      <c r="D5" s="2" t="s">
        <v>703</v>
      </c>
      <c r="E5" s="2" t="s">
        <v>704</v>
      </c>
      <c r="F5" s="2" t="s">
        <v>423</v>
      </c>
      <c r="G5" s="2" t="s">
        <v>705</v>
      </c>
      <c r="H5" s="2" t="s">
        <v>706</v>
      </c>
    </row>
    <row r="6" spans="2:9" ht="35" customHeight="1" x14ac:dyDescent="0.45">
      <c r="B6" s="37" t="s">
        <v>707</v>
      </c>
      <c r="C6" s="38" t="s">
        <v>708</v>
      </c>
      <c r="D6" s="39" t="s">
        <v>709</v>
      </c>
      <c r="E6" s="38" t="s">
        <v>710</v>
      </c>
      <c r="F6" s="38" t="s">
        <v>711</v>
      </c>
      <c r="G6" s="38" t="s">
        <v>712</v>
      </c>
      <c r="H6" s="40" t="s">
        <v>287</v>
      </c>
    </row>
    <row r="7" spans="2:9" ht="35" customHeight="1" x14ac:dyDescent="0.45">
      <c r="B7" s="37" t="s">
        <v>713</v>
      </c>
      <c r="C7" s="38" t="s">
        <v>714</v>
      </c>
      <c r="D7" s="39" t="s">
        <v>709</v>
      </c>
      <c r="E7" s="38" t="s">
        <v>715</v>
      </c>
      <c r="F7" s="38" t="s">
        <v>716</v>
      </c>
      <c r="G7" s="38" t="s">
        <v>717</v>
      </c>
      <c r="H7" s="40" t="s">
        <v>287</v>
      </c>
    </row>
    <row r="8" spans="2:9" ht="35" customHeight="1" x14ac:dyDescent="0.45">
      <c r="B8" s="37" t="s">
        <v>718</v>
      </c>
      <c r="C8" s="38" t="s">
        <v>719</v>
      </c>
      <c r="D8" s="39" t="s">
        <v>709</v>
      </c>
      <c r="E8" s="38" t="s">
        <v>720</v>
      </c>
      <c r="F8" s="38" t="s">
        <v>721</v>
      </c>
      <c r="G8" s="38" t="s">
        <v>722</v>
      </c>
      <c r="H8" s="40" t="s">
        <v>287</v>
      </c>
    </row>
    <row r="9" spans="2:9" ht="35" customHeight="1" x14ac:dyDescent="0.45">
      <c r="B9" s="37" t="s">
        <v>723</v>
      </c>
      <c r="C9" s="38" t="s">
        <v>724</v>
      </c>
      <c r="D9" s="39" t="s">
        <v>709</v>
      </c>
      <c r="E9" s="38" t="s">
        <v>725</v>
      </c>
      <c r="F9" s="38" t="s">
        <v>726</v>
      </c>
      <c r="G9" s="38" t="s">
        <v>727</v>
      </c>
      <c r="H9" s="40" t="s">
        <v>287</v>
      </c>
    </row>
    <row r="10" spans="2:9" ht="35" customHeight="1" x14ac:dyDescent="0.45">
      <c r="B10" s="37" t="s">
        <v>728</v>
      </c>
      <c r="C10" s="38" t="s">
        <v>729</v>
      </c>
      <c r="D10" s="39" t="s">
        <v>709</v>
      </c>
      <c r="E10" s="38" t="s">
        <v>730</v>
      </c>
      <c r="F10" s="38" t="s">
        <v>731</v>
      </c>
      <c r="G10" s="38" t="s">
        <v>732</v>
      </c>
      <c r="H10" s="40" t="s">
        <v>287</v>
      </c>
    </row>
    <row r="11" spans="2:9" ht="35" customHeight="1" x14ac:dyDescent="0.45">
      <c r="B11" s="37" t="s">
        <v>733</v>
      </c>
      <c r="C11" s="38" t="s">
        <v>734</v>
      </c>
      <c r="D11" s="39" t="s">
        <v>709</v>
      </c>
      <c r="E11" s="38" t="s">
        <v>735</v>
      </c>
      <c r="F11" s="38" t="s">
        <v>736</v>
      </c>
      <c r="G11" s="38" t="s">
        <v>737</v>
      </c>
      <c r="H11" s="40" t="s">
        <v>287</v>
      </c>
    </row>
    <row r="12" spans="2:9" ht="35" customHeight="1" x14ac:dyDescent="0.45">
      <c r="B12" s="37" t="s">
        <v>738</v>
      </c>
      <c r="C12" s="38" t="s">
        <v>739</v>
      </c>
      <c r="D12" s="39" t="s">
        <v>709</v>
      </c>
      <c r="E12" s="38" t="s">
        <v>740</v>
      </c>
      <c r="F12" s="38" t="s">
        <v>486</v>
      </c>
      <c r="G12" s="38" t="s">
        <v>741</v>
      </c>
      <c r="H12" s="40" t="s">
        <v>287</v>
      </c>
    </row>
    <row r="13" spans="2:9" ht="35" customHeight="1" x14ac:dyDescent="0.45">
      <c r="B13" s="36" t="s">
        <v>742</v>
      </c>
      <c r="C13" s="24" t="s">
        <v>743</v>
      </c>
      <c r="D13" s="25" t="s">
        <v>744</v>
      </c>
      <c r="E13" s="24" t="s">
        <v>745</v>
      </c>
      <c r="F13" s="24" t="s">
        <v>486</v>
      </c>
      <c r="G13" s="24" t="s">
        <v>746</v>
      </c>
      <c r="H13" s="35" t="s">
        <v>287</v>
      </c>
    </row>
    <row r="14" spans="2:9" ht="35" customHeight="1" x14ac:dyDescent="0.45">
      <c r="B14" s="36" t="s">
        <v>747</v>
      </c>
      <c r="C14" s="24" t="s">
        <v>748</v>
      </c>
      <c r="D14" s="25" t="s">
        <v>749</v>
      </c>
      <c r="E14" s="24" t="s">
        <v>750</v>
      </c>
      <c r="F14" s="24" t="s">
        <v>751</v>
      </c>
      <c r="G14" s="24" t="s">
        <v>752</v>
      </c>
      <c r="H14" s="35" t="s">
        <v>287</v>
      </c>
    </row>
    <row r="15" spans="2:9" ht="35" customHeight="1" x14ac:dyDescent="0.45">
      <c r="B15" s="36" t="s">
        <v>753</v>
      </c>
      <c r="C15" s="24" t="s">
        <v>754</v>
      </c>
      <c r="D15" s="25" t="s">
        <v>749</v>
      </c>
      <c r="E15" s="24" t="s">
        <v>755</v>
      </c>
      <c r="F15" s="24" t="s">
        <v>756</v>
      </c>
      <c r="G15" s="24" t="s">
        <v>757</v>
      </c>
      <c r="H15" s="35" t="s">
        <v>287</v>
      </c>
    </row>
    <row r="16" spans="2:9" ht="35" customHeight="1" x14ac:dyDescent="0.45">
      <c r="B16" s="33" t="s">
        <v>758</v>
      </c>
      <c r="C16" s="5" t="s">
        <v>743</v>
      </c>
      <c r="D16" s="3" t="s">
        <v>759</v>
      </c>
      <c r="E16" s="5" t="s">
        <v>760</v>
      </c>
      <c r="F16" s="5" t="s">
        <v>486</v>
      </c>
      <c r="G16" s="5" t="s">
        <v>761</v>
      </c>
      <c r="H16" s="4" t="s">
        <v>287</v>
      </c>
    </row>
    <row r="17" spans="2:8" ht="35" customHeight="1" x14ac:dyDescent="0.45">
      <c r="B17" s="33" t="s">
        <v>762</v>
      </c>
      <c r="C17" s="5" t="s">
        <v>763</v>
      </c>
      <c r="D17" s="3" t="s">
        <v>759</v>
      </c>
      <c r="E17" s="5" t="s">
        <v>764</v>
      </c>
      <c r="F17" s="5" t="s">
        <v>497</v>
      </c>
      <c r="G17" s="5" t="s">
        <v>765</v>
      </c>
      <c r="H17" s="4" t="s">
        <v>287</v>
      </c>
    </row>
    <row r="18" spans="2:8" ht="35" customHeight="1" x14ac:dyDescent="0.45">
      <c r="B18" s="33" t="s">
        <v>766</v>
      </c>
      <c r="C18" s="5" t="s">
        <v>708</v>
      </c>
      <c r="D18" s="3" t="s">
        <v>767</v>
      </c>
      <c r="E18" s="5" t="s">
        <v>768</v>
      </c>
      <c r="F18" s="5" t="s">
        <v>769</v>
      </c>
      <c r="G18" s="5" t="s">
        <v>770</v>
      </c>
      <c r="H18" s="4" t="s">
        <v>287</v>
      </c>
    </row>
    <row r="19" spans="2:8" ht="35" customHeight="1" x14ac:dyDescent="0.45">
      <c r="B19" s="33" t="s">
        <v>771</v>
      </c>
      <c r="C19" s="5" t="s">
        <v>772</v>
      </c>
      <c r="D19" s="3" t="s">
        <v>767</v>
      </c>
      <c r="E19" s="5" t="s">
        <v>773</v>
      </c>
      <c r="F19" s="5" t="s">
        <v>769</v>
      </c>
      <c r="G19" s="5" t="s">
        <v>774</v>
      </c>
      <c r="H19" s="4" t="s">
        <v>287</v>
      </c>
    </row>
    <row r="20" spans="2:8" ht="35" customHeight="1" x14ac:dyDescent="0.45">
      <c r="B20" s="30" t="s">
        <v>775</v>
      </c>
      <c r="C20" s="21" t="s">
        <v>776</v>
      </c>
      <c r="D20" s="41" t="s">
        <v>777</v>
      </c>
      <c r="E20" s="21" t="s">
        <v>778</v>
      </c>
      <c r="F20" s="21" t="s">
        <v>779</v>
      </c>
      <c r="G20" s="21" t="s">
        <v>780</v>
      </c>
      <c r="H20" s="42" t="s">
        <v>287</v>
      </c>
    </row>
    <row r="21" spans="2:8" ht="35" customHeight="1" x14ac:dyDescent="0.45">
      <c r="B21" s="30" t="s">
        <v>781</v>
      </c>
      <c r="C21" s="21" t="s">
        <v>782</v>
      </c>
      <c r="D21" s="41" t="s">
        <v>777</v>
      </c>
      <c r="E21" s="21" t="s">
        <v>783</v>
      </c>
      <c r="F21" s="21" t="s">
        <v>784</v>
      </c>
      <c r="G21" s="21" t="s">
        <v>785</v>
      </c>
      <c r="H21" s="42" t="s">
        <v>287</v>
      </c>
    </row>
    <row r="22" spans="2:8" ht="35" customHeight="1" x14ac:dyDescent="0.45">
      <c r="B22" s="30" t="s">
        <v>786</v>
      </c>
      <c r="C22" s="21" t="s">
        <v>787</v>
      </c>
      <c r="D22" s="41" t="s">
        <v>788</v>
      </c>
      <c r="E22" s="21" t="s">
        <v>789</v>
      </c>
      <c r="F22" s="21" t="s">
        <v>790</v>
      </c>
      <c r="G22" s="21" t="s">
        <v>791</v>
      </c>
      <c r="H22" s="42" t="s">
        <v>287</v>
      </c>
    </row>
    <row r="23" spans="2:8" ht="35" customHeight="1" x14ac:dyDescent="0.45">
      <c r="B23" s="30" t="s">
        <v>792</v>
      </c>
      <c r="C23" s="21" t="s">
        <v>793</v>
      </c>
      <c r="D23" s="41" t="s">
        <v>709</v>
      </c>
      <c r="E23" s="21" t="s">
        <v>794</v>
      </c>
      <c r="F23" s="21" t="s">
        <v>795</v>
      </c>
      <c r="G23" s="21" t="s">
        <v>796</v>
      </c>
      <c r="H23" s="42" t="s">
        <v>287</v>
      </c>
    </row>
    <row r="24" spans="2:8" ht="35" customHeight="1" x14ac:dyDescent="0.45">
      <c r="B24" s="33" t="s">
        <v>797</v>
      </c>
      <c r="C24" s="5" t="s">
        <v>798</v>
      </c>
      <c r="D24" s="3" t="s">
        <v>799</v>
      </c>
      <c r="E24" s="5" t="s">
        <v>463</v>
      </c>
      <c r="F24" s="5" t="s">
        <v>800</v>
      </c>
      <c r="G24" s="5" t="s">
        <v>801</v>
      </c>
      <c r="H24" s="4" t="s">
        <v>287</v>
      </c>
    </row>
    <row r="25" spans="2:8" ht="35" customHeight="1" x14ac:dyDescent="0.45">
      <c r="B25" s="33" t="s">
        <v>802</v>
      </c>
      <c r="C25" s="5" t="s">
        <v>803</v>
      </c>
      <c r="D25" s="3" t="s">
        <v>804</v>
      </c>
      <c r="E25" s="5" t="s">
        <v>805</v>
      </c>
      <c r="F25" s="5" t="s">
        <v>806</v>
      </c>
      <c r="G25" s="5" t="s">
        <v>807</v>
      </c>
      <c r="H25" s="4" t="s">
        <v>287</v>
      </c>
    </row>
  </sheetData>
  <mergeCells count="2">
    <mergeCell ref="B3:I3"/>
    <mergeCell ref="B2:I2"/>
  </mergeCells>
  <hyperlinks>
    <hyperlink ref="H6" r:id="rId1" xr:uid="{00000000-0004-0000-0700-000000000000}"/>
    <hyperlink ref="H7" r:id="rId2" xr:uid="{00000000-0004-0000-0700-000001000000}"/>
    <hyperlink ref="H8" r:id="rId3" xr:uid="{00000000-0004-0000-0700-000002000000}"/>
    <hyperlink ref="H9" r:id="rId4" xr:uid="{00000000-0004-0000-0700-000003000000}"/>
    <hyperlink ref="H10" r:id="rId5" xr:uid="{00000000-0004-0000-0700-000004000000}"/>
    <hyperlink ref="H11" r:id="rId6" xr:uid="{00000000-0004-0000-0700-000005000000}"/>
    <hyperlink ref="H12" r:id="rId7" xr:uid="{00000000-0004-0000-0700-000006000000}"/>
    <hyperlink ref="H13" r:id="rId8" xr:uid="{00000000-0004-0000-0700-000007000000}"/>
    <hyperlink ref="H14" r:id="rId9" xr:uid="{00000000-0004-0000-0700-000008000000}"/>
    <hyperlink ref="H15" r:id="rId10" xr:uid="{00000000-0004-0000-0700-000009000000}"/>
    <hyperlink ref="H16" r:id="rId11" xr:uid="{00000000-0004-0000-0700-00000A000000}"/>
    <hyperlink ref="H17" r:id="rId12" xr:uid="{00000000-0004-0000-0700-00000B000000}"/>
    <hyperlink ref="H18" r:id="rId13" xr:uid="{00000000-0004-0000-0700-00000C000000}"/>
    <hyperlink ref="H19" r:id="rId14" xr:uid="{00000000-0004-0000-0700-00000D000000}"/>
    <hyperlink ref="H20" r:id="rId15" xr:uid="{00000000-0004-0000-0700-00000E000000}"/>
    <hyperlink ref="H21" r:id="rId16" xr:uid="{00000000-0004-0000-0700-00000F000000}"/>
    <hyperlink ref="H22" r:id="rId17" xr:uid="{00000000-0004-0000-0700-000010000000}"/>
    <hyperlink ref="H23" r:id="rId18" xr:uid="{00000000-0004-0000-0700-000011000000}"/>
    <hyperlink ref="H24" r:id="rId19" xr:uid="{00000000-0004-0000-0700-000012000000}"/>
    <hyperlink ref="H25" r:id="rId20" xr:uid="{00000000-0004-0000-0700-00001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Claude Log</vt:lpstr>
      <vt:lpstr>Overview &amp; Index</vt:lpstr>
      <vt:lpstr>ICRP Publications</vt:lpstr>
      <vt:lpstr>IAEA Standards</vt:lpstr>
      <vt:lpstr>NCRP &amp; ICRU Reports</vt:lpstr>
      <vt:lpstr>Dose Calculation</vt:lpstr>
      <vt:lpstr>Radiation Physics Data</vt:lpstr>
      <vt:lpstr>Radionuclide Data</vt:lpstr>
      <vt:lpstr>Decay Chains</vt:lpstr>
      <vt:lpstr>Degradation Products</vt:lpstr>
      <vt:lpstr>Computational Tools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Travis Carlson</cp:lastModifiedBy>
  <dcterms:created xsi:type="dcterms:W3CDTF">2026-04-05T19:46:36Z</dcterms:created>
  <dcterms:modified xsi:type="dcterms:W3CDTF">2026-04-07T17:01:49Z</dcterms:modified>
</cp:coreProperties>
</file>